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c90e54e33389d/Documents/"/>
    </mc:Choice>
  </mc:AlternateContent>
  <xr:revisionPtr revIDLastSave="0" documentId="8_{CA21F61B-C9EC-45DB-9C2F-8707332594E2}" xr6:coauthVersionLast="47" xr6:coauthVersionMax="47" xr10:uidLastSave="{00000000-0000-0000-0000-000000000000}"/>
  <bookViews>
    <workbookView xWindow="-108" yWindow="-108" windowWidth="23256" windowHeight="12456" firstSheet="1" activeTab="7" xr2:uid="{1801D507-6C4F-410F-8832-D827537E283E}"/>
  </bookViews>
  <sheets>
    <sheet name="Data" sheetId="1" r:id="rId1"/>
    <sheet name="if-count-sumif by me" sheetId="10" r:id="rId2"/>
    <sheet name="pivot" sheetId="11" r:id="rId3"/>
    <sheet name="conditional formattings" sheetId="12" r:id="rId4"/>
    <sheet name="dynamic filters" sheetId="13" r:id="rId5"/>
    <sheet name="remove_duplicate" sheetId="14" r:id="rId6"/>
    <sheet name="BONUS" sheetId="8" r:id="rId7"/>
    <sheet name="Practice" sheetId="9" r:id="rId8"/>
  </sheets>
  <calcPr calcId="191029"/>
  <pivotCaches>
    <pivotCache cacheId="7" r:id="rId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3" l="1" a="1"/>
  <c r="M7" i="13" s="1"/>
  <c r="R18" i="10"/>
  <c r="S13" i="10"/>
  <c r="S7" i="10"/>
  <c r="N9" i="10"/>
  <c r="N10" i="10"/>
  <c r="N11" i="10"/>
  <c r="N12" i="10"/>
  <c r="N13" i="10"/>
  <c r="N14" i="10"/>
  <c r="N15" i="10"/>
  <c r="N16" i="10"/>
  <c r="N17" i="10"/>
  <c r="N18" i="10"/>
  <c r="N19" i="10"/>
  <c r="N8" i="10"/>
  <c r="M9" i="10"/>
  <c r="M10" i="10"/>
  <c r="M11" i="10"/>
  <c r="M12" i="10"/>
  <c r="M13" i="10"/>
  <c r="M14" i="10"/>
  <c r="M15" i="10"/>
  <c r="M16" i="10"/>
  <c r="M17" i="10"/>
  <c r="M18" i="10"/>
  <c r="M19" i="10"/>
  <c r="M8" i="10"/>
  <c r="K17" i="1"/>
  <c r="K18" i="1"/>
  <c r="K19" i="1"/>
  <c r="K26" i="1"/>
  <c r="K27" i="1"/>
  <c r="K28" i="1"/>
  <c r="K25" i="1"/>
  <c r="K16" i="1"/>
  <c r="K13" i="1" a="1"/>
  <c r="K13" i="1" s="1"/>
  <c r="K11" i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<sst xmlns="http://schemas.openxmlformats.org/spreadsheetml/2006/main" count="459" uniqueCount="85">
  <si>
    <t>Order_ID</t>
  </si>
  <si>
    <t>Order_Date</t>
  </si>
  <si>
    <t>Customer_Name</t>
  </si>
  <si>
    <t>Region</t>
  </si>
  <si>
    <t>Product</t>
  </si>
  <si>
    <t>Sales_Amount</t>
  </si>
  <si>
    <t>Sales_Rep</t>
  </si>
  <si>
    <t>Ali Khan</t>
  </si>
  <si>
    <t>East</t>
  </si>
  <si>
    <t>Laptop</t>
  </si>
  <si>
    <t>John</t>
  </si>
  <si>
    <t>Sara Ahmed</t>
  </si>
  <si>
    <t>West</t>
  </si>
  <si>
    <t>Mobile</t>
  </si>
  <si>
    <t>Emma</t>
  </si>
  <si>
    <t>Mouse</t>
  </si>
  <si>
    <t>David Lee</t>
  </si>
  <si>
    <t>North</t>
  </si>
  <si>
    <t>Alex</t>
  </si>
  <si>
    <t>Fatima Noor</t>
  </si>
  <si>
    <t>South</t>
  </si>
  <si>
    <t>Keyboard</t>
  </si>
  <si>
    <t>Omar Hassan</t>
  </si>
  <si>
    <t>Remove Duplicates</t>
  </si>
  <si>
    <t>1. XLOOKUP (5 Practice)</t>
  </si>
  <si>
    <r>
      <t xml:space="preserve">1. Find the </t>
    </r>
    <r>
      <rPr>
        <b/>
        <sz val="11"/>
        <color theme="1"/>
        <rFont val="Aptos Narrow"/>
        <family val="2"/>
        <scheme val="minor"/>
      </rPr>
      <t>Sales_Rep</t>
    </r>
    <r>
      <rPr>
        <sz val="11"/>
        <color theme="1"/>
        <rFont val="Aptos Narrow"/>
        <family val="2"/>
        <scheme val="minor"/>
      </rPr>
      <t xml:space="preserve"> for customer </t>
    </r>
    <r>
      <rPr>
        <i/>
        <sz val="11"/>
        <color theme="1"/>
        <rFont val="Aptos Narrow"/>
        <family val="2"/>
        <scheme val="minor"/>
      </rPr>
      <t>Sara Ahmed</t>
    </r>
  </si>
  <si>
    <r>
      <t xml:space="preserve">2. Get the </t>
    </r>
    <r>
      <rPr>
        <b/>
        <sz val="11"/>
        <color theme="1"/>
        <rFont val="Aptos Narrow"/>
        <family val="2"/>
        <scheme val="minor"/>
      </rPr>
      <t>Sales_Amount</t>
    </r>
    <r>
      <rPr>
        <sz val="11"/>
        <color theme="1"/>
        <rFont val="Aptos Narrow"/>
        <family val="2"/>
        <scheme val="minor"/>
      </rPr>
      <t xml:space="preserve"> for Order_ID </t>
    </r>
    <r>
      <rPr>
        <i/>
        <sz val="11"/>
        <color theme="1"/>
        <rFont val="Aptos Narrow"/>
        <family val="2"/>
        <scheme val="minor"/>
      </rPr>
      <t>1005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</si>
  <si>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for </t>
    </r>
    <r>
      <rPr>
        <i/>
        <sz val="11"/>
        <color theme="1"/>
        <rFont val="Aptos Narrow"/>
        <family val="2"/>
        <scheme val="minor"/>
      </rPr>
      <t>David Lee</t>
    </r>
  </si>
  <si>
    <r>
      <t xml:space="preserve">4. Return the </t>
    </r>
    <r>
      <rPr>
        <b/>
        <sz val="11"/>
        <color theme="1"/>
        <rFont val="Aptos Narrow"/>
        <family val="2"/>
        <scheme val="minor"/>
      </rPr>
      <t>Product</t>
    </r>
    <r>
      <rPr>
        <sz val="11"/>
        <color theme="1"/>
        <rFont val="Aptos Narrow"/>
        <family val="2"/>
        <scheme val="minor"/>
      </rPr>
      <t xml:space="preserve"> for Order_ID </t>
    </r>
    <r>
      <rPr>
        <i/>
        <sz val="11"/>
        <color theme="1"/>
        <rFont val="Aptos Narrow"/>
        <family val="2"/>
        <scheme val="minor"/>
      </rPr>
      <t>1010</t>
    </r>
  </si>
  <si>
    <r>
      <t xml:space="preserve">5. Find the </t>
    </r>
    <r>
      <rPr>
        <b/>
        <sz val="11"/>
        <color theme="1"/>
        <rFont val="Aptos Narrow"/>
        <family val="2"/>
        <scheme val="minor"/>
      </rPr>
      <t>Order_Date</t>
    </r>
    <r>
      <rPr>
        <sz val="11"/>
        <color theme="1"/>
        <rFont val="Aptos Narrow"/>
        <family val="2"/>
        <scheme val="minor"/>
      </rPr>
      <t xml:space="preserve"> for </t>
    </r>
    <r>
      <rPr>
        <i/>
        <sz val="11"/>
        <color theme="1"/>
        <rFont val="Aptos Narrow"/>
        <family val="2"/>
        <scheme val="minor"/>
      </rPr>
      <t>Omar Hassan</t>
    </r>
  </si>
  <si>
    <t>2. FILTER (5 Practice)</t>
  </si>
  <si>
    <r>
      <t xml:space="preserve">1. Show all records where </t>
    </r>
    <r>
      <rPr>
        <b/>
        <sz val="11"/>
        <color theme="1"/>
        <rFont val="Aptos Narrow"/>
        <family val="2"/>
        <scheme val="minor"/>
      </rPr>
      <t>Region = East</t>
    </r>
  </si>
  <si>
    <r>
      <t xml:space="preserve">2. Filter all </t>
    </r>
    <r>
      <rPr>
        <b/>
        <sz val="11"/>
        <color theme="1"/>
        <rFont val="Aptos Narrow"/>
        <family val="2"/>
        <scheme val="minor"/>
      </rPr>
      <t>Laptop sales</t>
    </r>
  </si>
  <si>
    <r>
      <t xml:space="preserve">3. Show data where </t>
    </r>
    <r>
      <rPr>
        <b/>
        <sz val="11"/>
        <color theme="1"/>
        <rFont val="Aptos Narrow"/>
        <family val="2"/>
        <scheme val="minor"/>
      </rPr>
      <t>Sales_Amount &gt; 3000</t>
    </r>
  </si>
  <si>
    <r>
      <t xml:space="preserve">4. Get all records for </t>
    </r>
    <r>
      <rPr>
        <b/>
        <sz val="11"/>
        <color theme="1"/>
        <rFont val="Aptos Narrow"/>
        <family val="2"/>
        <scheme val="minor"/>
      </rPr>
      <t>Emma (Sales Rep)</t>
    </r>
  </si>
  <si>
    <r>
      <t xml:space="preserve">5. Filter </t>
    </r>
    <r>
      <rPr>
        <b/>
        <sz val="11"/>
        <color theme="1"/>
        <rFont val="Aptos Narrow"/>
        <family val="2"/>
        <scheme val="minor"/>
      </rPr>
      <t>West region + Mobile sales</t>
    </r>
  </si>
  <si>
    <r>
      <t xml:space="preserve">Categorize sales as </t>
    </r>
    <r>
      <rPr>
        <b/>
        <sz val="11"/>
        <color theme="1"/>
        <rFont val="Aptos Narrow"/>
        <family val="2"/>
        <scheme val="minor"/>
      </rPr>
      <t>High (&gt;3000) or Low</t>
    </r>
  </si>
  <si>
    <r>
      <t xml:space="preserve">If Region is </t>
    </r>
    <r>
      <rPr>
        <i/>
        <sz val="11"/>
        <color theme="1"/>
        <rFont val="Aptos Narrow"/>
        <family val="2"/>
        <scheme val="minor"/>
      </rPr>
      <t>East</t>
    </r>
    <r>
      <rPr>
        <sz val="11"/>
        <color theme="1"/>
        <rFont val="Aptos Narrow"/>
        <family val="2"/>
        <scheme val="minor"/>
      </rPr>
      <t xml:space="preserve">, mark as </t>
    </r>
    <r>
      <rPr>
        <b/>
        <sz val="11"/>
        <color theme="1"/>
        <rFont val="Aptos Narrow"/>
        <family val="2"/>
        <scheme val="minor"/>
      </rPr>
      <t>Priority</t>
    </r>
    <r>
      <rPr>
        <sz val="11"/>
        <color theme="1"/>
        <rFont val="Aptos Narrow"/>
        <family val="2"/>
        <scheme val="minor"/>
      </rPr>
      <t xml:space="preserve">, else </t>
    </r>
    <r>
      <rPr>
        <b/>
        <sz val="11"/>
        <color theme="1"/>
        <rFont val="Aptos Narrow"/>
        <family val="2"/>
        <scheme val="minor"/>
      </rPr>
      <t>Normal</t>
    </r>
  </si>
  <si>
    <r>
      <t xml:space="preserve">If Product is </t>
    </r>
    <r>
      <rPr>
        <i/>
        <sz val="11"/>
        <color theme="1"/>
        <rFont val="Aptos Narrow"/>
        <family val="2"/>
        <scheme val="minor"/>
      </rPr>
      <t>Laptop</t>
    </r>
    <r>
      <rPr>
        <sz val="11"/>
        <color theme="1"/>
        <rFont val="Aptos Narrow"/>
        <family val="2"/>
        <scheme val="minor"/>
      </rPr>
      <t xml:space="preserve">, return </t>
    </r>
    <r>
      <rPr>
        <b/>
        <sz val="11"/>
        <color theme="1"/>
        <rFont val="Aptos Narrow"/>
        <family val="2"/>
        <scheme val="minor"/>
      </rPr>
      <t>"Premium"</t>
    </r>
    <r>
      <rPr>
        <sz val="11"/>
        <color theme="1"/>
        <rFont val="Aptos Narrow"/>
        <family val="2"/>
        <scheme val="minor"/>
      </rPr>
      <t xml:space="preserve">, else </t>
    </r>
    <r>
      <rPr>
        <b/>
        <sz val="11"/>
        <color theme="1"/>
        <rFont val="Aptos Narrow"/>
        <family val="2"/>
        <scheme val="minor"/>
      </rPr>
      <t>"Standard"</t>
    </r>
  </si>
  <si>
    <r>
      <t xml:space="preserve">If Sales_Amount &lt; 1000 → </t>
    </r>
    <r>
      <rPr>
        <b/>
        <sz val="11"/>
        <color theme="1"/>
        <rFont val="Aptos Narrow"/>
        <family val="2"/>
        <scheme val="minor"/>
      </rPr>
      <t>"Low Value"</t>
    </r>
    <r>
      <rPr>
        <sz val="11"/>
        <color theme="1"/>
        <rFont val="Aptos Narrow"/>
        <family val="2"/>
        <scheme val="minor"/>
      </rPr>
      <t xml:space="preserve">, else </t>
    </r>
    <r>
      <rPr>
        <b/>
        <sz val="11"/>
        <color theme="1"/>
        <rFont val="Aptos Narrow"/>
        <family val="2"/>
        <scheme val="minor"/>
      </rPr>
      <t>"High Value"</t>
    </r>
  </si>
  <si>
    <r>
      <t xml:space="preserve">If Sales_Rep is </t>
    </r>
    <r>
      <rPr>
        <i/>
        <sz val="11"/>
        <color theme="1"/>
        <rFont val="Aptos Narrow"/>
        <family val="2"/>
        <scheme val="minor"/>
      </rPr>
      <t>John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"Top Performer"</t>
    </r>
    <r>
      <rPr>
        <sz val="11"/>
        <color theme="1"/>
        <rFont val="Aptos Narrow"/>
        <family val="2"/>
        <scheme val="minor"/>
      </rPr>
      <t xml:space="preserve">, else </t>
    </r>
    <r>
      <rPr>
        <b/>
        <sz val="11"/>
        <color theme="1"/>
        <rFont val="Aptos Narrow"/>
        <family val="2"/>
        <scheme val="minor"/>
      </rPr>
      <t>"Other"</t>
    </r>
  </si>
  <si>
    <r>
      <t xml:space="preserve">Total </t>
    </r>
    <r>
      <rPr>
        <b/>
        <sz val="11"/>
        <color theme="1"/>
        <rFont val="Aptos Narrow"/>
        <family val="2"/>
        <scheme val="minor"/>
      </rPr>
      <t>Sales in East region</t>
    </r>
  </si>
  <si>
    <r>
      <t xml:space="preserve">Total </t>
    </r>
    <r>
      <rPr>
        <b/>
        <sz val="11"/>
        <color theme="1"/>
        <rFont val="Aptos Narrow"/>
        <family val="2"/>
        <scheme val="minor"/>
      </rPr>
      <t>Laptop sales only</t>
    </r>
  </si>
  <si>
    <r>
      <t xml:space="preserve">Total </t>
    </r>
    <r>
      <rPr>
        <b/>
        <sz val="11"/>
        <color theme="1"/>
        <rFont val="Aptos Narrow"/>
        <family val="2"/>
        <scheme val="minor"/>
      </rPr>
      <t>Sales by Emma</t>
    </r>
  </si>
  <si>
    <r>
      <t xml:space="preserve">Total sales where </t>
    </r>
    <r>
      <rPr>
        <b/>
        <sz val="11"/>
        <color theme="1"/>
        <rFont val="Aptos Narrow"/>
        <family val="2"/>
        <scheme val="minor"/>
      </rPr>
      <t>Region = West AND Product = Laptop</t>
    </r>
  </si>
  <si>
    <r>
      <t xml:space="preserve">Total sales where </t>
    </r>
    <r>
      <rPr>
        <b/>
        <sz val="11"/>
        <color theme="1"/>
        <rFont val="Aptos Narrow"/>
        <family val="2"/>
        <scheme val="minor"/>
      </rPr>
      <t>Sales_Amount &gt; 1000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(advanced — use helper or logic)</t>
    </r>
  </si>
  <si>
    <t>Pivot Table (5 Practice)</t>
  </si>
  <si>
    <t>👉 Ask your audience to create these:</t>
  </si>
  <si>
    <r>
      <t xml:space="preserve">1. Total </t>
    </r>
    <r>
      <rPr>
        <b/>
        <sz val="11"/>
        <color theme="1"/>
        <rFont val="Aptos Narrow"/>
        <family val="2"/>
        <scheme val="minor"/>
      </rPr>
      <t>Sales by Region</t>
    </r>
  </si>
  <si>
    <r>
      <t xml:space="preserve">2. Total </t>
    </r>
    <r>
      <rPr>
        <b/>
        <sz val="11"/>
        <color theme="1"/>
        <rFont val="Aptos Narrow"/>
        <family val="2"/>
        <scheme val="minor"/>
      </rPr>
      <t>Sales by Product</t>
    </r>
  </si>
  <si>
    <r>
      <t xml:space="preserve">3. Sales by </t>
    </r>
    <r>
      <rPr>
        <b/>
        <sz val="11"/>
        <color theme="1"/>
        <rFont val="Aptos Narrow"/>
        <family val="2"/>
        <scheme val="minor"/>
      </rPr>
      <t>Sales_Rep</t>
    </r>
  </si>
  <si>
    <t>4. Region vs Product (which product sells best in each region)</t>
  </si>
  <si>
    <r>
      <t xml:space="preserve">5. Count of orders per </t>
    </r>
    <r>
      <rPr>
        <b/>
        <sz val="11"/>
        <color theme="1"/>
        <rFont val="Aptos Narrow"/>
        <family val="2"/>
        <scheme val="minor"/>
      </rPr>
      <t>Customer_Name</t>
    </r>
  </si>
  <si>
    <r>
      <t xml:space="preserve">Remove duplicate values from </t>
    </r>
    <r>
      <rPr>
        <b/>
        <sz val="11"/>
        <color theme="1"/>
        <rFont val="Aptos Narrow"/>
        <family val="2"/>
        <scheme val="minor"/>
      </rPr>
      <t>Customer_Name</t>
    </r>
  </si>
  <si>
    <r>
      <t xml:space="preserve">Remove duplicates from </t>
    </r>
    <r>
      <rPr>
        <b/>
        <sz val="11"/>
        <color theme="1"/>
        <rFont val="Aptos Narrow"/>
        <family val="2"/>
        <scheme val="minor"/>
      </rPr>
      <t>Product column</t>
    </r>
  </si>
  <si>
    <r>
      <t xml:space="preserve">Remove duplicates based on </t>
    </r>
    <r>
      <rPr>
        <b/>
        <sz val="11"/>
        <color theme="1"/>
        <rFont val="Aptos Narrow"/>
        <family val="2"/>
        <scheme val="minor"/>
      </rPr>
      <t>Customer + Product combination</t>
    </r>
  </si>
  <si>
    <r>
      <t xml:space="preserve">Count how many </t>
    </r>
    <r>
      <rPr>
        <b/>
        <sz val="11"/>
        <color theme="1"/>
        <rFont val="Aptos Narrow"/>
        <family val="2"/>
        <scheme val="minor"/>
      </rPr>
      <t>unique customers</t>
    </r>
    <r>
      <rPr>
        <sz val="11"/>
        <color theme="1"/>
        <rFont val="Aptos Narrow"/>
        <family val="2"/>
        <scheme val="minor"/>
      </rPr>
      <t xml:space="preserve"> exist (after removing duplicates)</t>
    </r>
  </si>
  <si>
    <r>
      <t xml:space="preserve">Check if any duplicate </t>
    </r>
    <r>
      <rPr>
        <b/>
        <sz val="11"/>
        <color theme="1"/>
        <rFont val="Aptos Narrow"/>
        <family val="2"/>
        <scheme val="minor"/>
      </rPr>
      <t>Order_IDs</t>
    </r>
    <r>
      <rPr>
        <sz val="11"/>
        <color theme="1"/>
        <rFont val="Aptos Narrow"/>
        <family val="2"/>
        <scheme val="minor"/>
      </rPr>
      <t xml:space="preserve"> exist</t>
    </r>
  </si>
  <si>
    <t>Bonus - Practice</t>
  </si>
  <si>
    <t>Practice</t>
  </si>
  <si>
    <t>COUNTIF</t>
  </si>
  <si>
    <t>SUMIF</t>
  </si>
  <si>
    <t>Grand Total</t>
  </si>
  <si>
    <t>Count of Region</t>
  </si>
  <si>
    <t>Max of Sales_Amount</t>
  </si>
  <si>
    <t xml:space="preserve"> </t>
  </si>
  <si>
    <t xml:space="preserve"> O ID</t>
  </si>
  <si>
    <t>sales amount</t>
  </si>
  <si>
    <t xml:space="preserve">to solve this </t>
  </si>
  <si>
    <t xml:space="preserve">add $ in range </t>
  </si>
  <si>
    <t>$c$4:$c$14</t>
  </si>
  <si>
    <t>solutions</t>
  </si>
  <si>
    <t>in range select it and press f4 button</t>
  </si>
  <si>
    <t>sales l</t>
  </si>
  <si>
    <t xml:space="preserve">low </t>
  </si>
  <si>
    <t>high</t>
  </si>
  <si>
    <t>manually</t>
  </si>
  <si>
    <t>if cond_n</t>
  </si>
  <si>
    <t>&gt;5000</t>
  </si>
  <si>
    <t xml:space="preserve">if east </t>
  </si>
  <si>
    <t>no_of east</t>
  </si>
  <si>
    <t>suming sales amount where region ="East"</t>
  </si>
  <si>
    <t>this are case sensetive</t>
  </si>
  <si>
    <t>Total sales</t>
  </si>
  <si>
    <t xml:space="preserve">remove duplicate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</si>
</sst>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0" xfId="1" applyNumberFormat="1" applyFont="1" applyAlignment="1">
      <alignment vertical="center" wrapText="1"/>
    </xf>
    <xf numFmtId="164" fontId="0" fillId="3" borderId="0" xfId="1" applyNumberFormat="1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164" fontId="0" fillId="7" borderId="0" xfId="1" applyNumberFormat="1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vertical="center" wrapText="1"/>
    </xf>
    <xf numFmtId="0" fontId="0" fillId="13" borderId="0" xfId="0" applyFill="1"/>
    <xf numFmtId="14" fontId="0" fillId="6" borderId="0" xfId="0" applyNumberFormat="1" applyFill="1" applyAlignment="1">
      <alignment vertical="center" wrapText="1"/>
    </xf>
    <xf numFmtId="14" fontId="0" fillId="8" borderId="0" xfId="0" applyNumberFormat="1" applyFill="1" applyAlignment="1">
      <alignment vertical="center" wrapText="1"/>
    </xf>
    <xf numFmtId="0" fontId="2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AN COMPUTER ZONE" refreshedDate="46290.727714004628" createdVersion="8" refreshedVersion="8" minRefreshableVersion="3" recordCount="12" xr:uid="{EED6406C-BA8B-488C-A223-5A94D7ADBA73}">
  <cacheSource type="worksheet">
    <worksheetSource ref="D7:J19" sheet="pivot"/>
  </cacheSource>
  <cacheFields count="7">
    <cacheField name="Order_ID" numFmtId="0">
      <sharedItems containsSemiMixedTypes="0" containsString="0" containsNumber="1" containsInteger="1" minValue="1001" maxValue="1012"/>
    </cacheField>
    <cacheField name="Order_Date" numFmtId="14">
      <sharedItems containsSemiMixedTypes="0" containsNonDate="0" containsDate="1" containsString="0" minDate="2026-01-01T00:00:00" maxDate="2026-09-02T00:00:00"/>
    </cacheField>
    <cacheField name="Customer_Name" numFmtId="0">
      <sharedItems count="5">
        <s v="Ali Khan"/>
        <s v="Sara Ahmed"/>
        <s v="David Lee"/>
        <s v="Fatima Noor"/>
        <s v="Omar Hassan"/>
      </sharedItems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4">
        <s v="Laptop"/>
        <s v="Mobile"/>
        <s v="Mouse"/>
        <s v="Keyboard"/>
      </sharedItems>
    </cacheField>
    <cacheField name="Sales_Amount" numFmtId="164">
      <sharedItems containsSemiMixedTypes="0" containsString="0" containsNumber="1" containsInteger="1" minValue="200" maxValue="5200"/>
    </cacheField>
    <cacheField name="Sales_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d v="2026-01-01T00:00:00"/>
    <x v="0"/>
    <x v="0"/>
    <x v="0"/>
    <n v="5000"/>
    <s v="John"/>
  </r>
  <r>
    <n v="1002"/>
    <d v="2026-02-01T00:00:00"/>
    <x v="1"/>
    <x v="1"/>
    <x v="1"/>
    <n v="1200"/>
    <s v="Emma"/>
  </r>
  <r>
    <n v="1003"/>
    <d v="2026-02-01T00:00:00"/>
    <x v="0"/>
    <x v="0"/>
    <x v="2"/>
    <n v="200"/>
    <s v="John"/>
  </r>
  <r>
    <n v="1004"/>
    <d v="2026-03-01T00:00:00"/>
    <x v="2"/>
    <x v="2"/>
    <x v="0"/>
    <n v="5200"/>
    <s v="Alex"/>
  </r>
  <r>
    <n v="1005"/>
    <d v="2026-04-01T00:00:00"/>
    <x v="3"/>
    <x v="3"/>
    <x v="3"/>
    <n v="800"/>
    <s v="Emma"/>
  </r>
  <r>
    <n v="1006"/>
    <d v="2026-05-01T00:00:00"/>
    <x v="4"/>
    <x v="0"/>
    <x v="1"/>
    <n v="1500"/>
    <s v="John"/>
  </r>
  <r>
    <n v="1007"/>
    <d v="2026-05-01T00:00:00"/>
    <x v="1"/>
    <x v="1"/>
    <x v="0"/>
    <n v="5100"/>
    <s v="Emma"/>
  </r>
  <r>
    <n v="1008"/>
    <d v="2026-06-01T00:00:00"/>
    <x v="0"/>
    <x v="0"/>
    <x v="0"/>
    <n v="5000"/>
    <s v="John"/>
  </r>
  <r>
    <n v="1009"/>
    <d v="2026-07-01T00:00:00"/>
    <x v="2"/>
    <x v="2"/>
    <x v="2"/>
    <n v="250"/>
    <s v="Alex"/>
  </r>
  <r>
    <n v="1010"/>
    <d v="2026-08-01T00:00:00"/>
    <x v="3"/>
    <x v="3"/>
    <x v="1"/>
    <n v="1300"/>
    <s v="Emma"/>
  </r>
  <r>
    <n v="1011"/>
    <d v="2026-08-01T00:00:00"/>
    <x v="0"/>
    <x v="0"/>
    <x v="0"/>
    <n v="5000"/>
    <s v="John"/>
  </r>
  <r>
    <n v="1012"/>
    <d v="2026-09-01T00:00:00"/>
    <x v="4"/>
    <x v="0"/>
    <x v="3"/>
    <n v="900"/>
    <s v="Joh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4FC20-3DAF-4366-BF9C-4015D2B3C2C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M10:P14" firstHeaderRow="0" firstDataRow="1" firstDataCol="1" rowPageCount="1" colPageCount="1"/>
  <pivotFields count="7">
    <pivotField showAll="0"/>
    <pivotField numFmtId="14" showAll="0"/>
    <pivotField showAll="0">
      <items count="6">
        <item x="0"/>
        <item x="2"/>
        <item x="3"/>
        <item x="4"/>
        <item x="1"/>
        <item t="default"/>
      </items>
    </pivotField>
    <pivotField axis="axisRow" dataField="1" showAll="0">
      <items count="5">
        <item x="0"/>
        <item x="2"/>
        <item x="3"/>
        <item x="1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dataField="1" numFmtId="164"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item="1" hier="-1"/>
  </pageFields>
  <dataFields count="3">
    <dataField name="Total sales" fld="5" baseField="3" baseItem="0"/>
    <dataField name="Count of Region" fld="3" subtotal="count" baseField="0" baseItem="0"/>
    <dataField name="Max of Sales_Amount" fld="5" subtotal="max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0032-58C5-4234-B17A-3367C1602368}">
  <dimension ref="B3:N28"/>
  <sheetViews>
    <sheetView zoomScale="111" zoomScaleNormal="99" workbookViewId="0">
      <selection activeCell="B3" sqref="B3:I15"/>
    </sheetView>
  </sheetViews>
  <sheetFormatPr defaultColWidth="14" defaultRowHeight="14.4" x14ac:dyDescent="0.3"/>
  <cols>
    <col min="2" max="2" width="8.77734375" bestFit="1" customWidth="1"/>
    <col min="3" max="3" width="11" bestFit="1" customWidth="1"/>
    <col min="4" max="4" width="15.77734375" bestFit="1" customWidth="1"/>
    <col min="5" max="5" width="7.109375" bestFit="1" customWidth="1"/>
    <col min="6" max="6" width="9.6640625" customWidth="1"/>
    <col min="7" max="7" width="13.44140625" bestFit="1" customWidth="1"/>
    <col min="8" max="8" width="10" bestFit="1" customWidth="1"/>
  </cols>
  <sheetData>
    <row r="3" spans="2:12" ht="19.2" customHeight="1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2:12" x14ac:dyDescent="0.3">
      <c r="B4" s="1">
        <v>1001</v>
      </c>
      <c r="C4" s="2">
        <v>46023</v>
      </c>
      <c r="D4" s="1" t="s">
        <v>7</v>
      </c>
      <c r="E4" s="1" t="s">
        <v>8</v>
      </c>
      <c r="F4" s="1" t="s">
        <v>9</v>
      </c>
      <c r="G4" s="6">
        <v>5000</v>
      </c>
      <c r="H4" s="1" t="s">
        <v>10</v>
      </c>
    </row>
    <row r="5" spans="2:12" x14ac:dyDescent="0.3">
      <c r="B5" s="11">
        <v>1002</v>
      </c>
      <c r="C5" s="2">
        <v>46054</v>
      </c>
      <c r="D5" s="1" t="s">
        <v>11</v>
      </c>
      <c r="E5" s="1" t="s">
        <v>12</v>
      </c>
      <c r="F5" s="1" t="s">
        <v>13</v>
      </c>
      <c r="G5" s="7">
        <v>1200</v>
      </c>
      <c r="H5" s="1" t="s">
        <v>14</v>
      </c>
    </row>
    <row r="6" spans="2:12" x14ac:dyDescent="0.3">
      <c r="B6" s="1">
        <v>1003</v>
      </c>
      <c r="C6" s="2">
        <v>46054</v>
      </c>
      <c r="D6" s="1" t="s">
        <v>7</v>
      </c>
      <c r="E6" s="1" t="s">
        <v>8</v>
      </c>
      <c r="F6" s="1" t="s">
        <v>15</v>
      </c>
      <c r="G6" s="6">
        <v>200</v>
      </c>
      <c r="H6" s="1" t="s">
        <v>10</v>
      </c>
      <c r="J6">
        <f>_xlfn.XLOOKUP(B5,B4:B15,G4:G15)</f>
        <v>1200</v>
      </c>
    </row>
    <row r="7" spans="2:12" x14ac:dyDescent="0.3">
      <c r="B7" s="1">
        <v>1004</v>
      </c>
      <c r="C7" s="2">
        <v>46082</v>
      </c>
      <c r="D7" s="1" t="s">
        <v>16</v>
      </c>
      <c r="E7" s="1" t="s">
        <v>17</v>
      </c>
      <c r="F7" s="1" t="s">
        <v>9</v>
      </c>
      <c r="G7" s="6">
        <v>5200</v>
      </c>
      <c r="H7" s="1" t="s">
        <v>18</v>
      </c>
    </row>
    <row r="8" spans="2:12" x14ac:dyDescent="0.3">
      <c r="B8" s="1">
        <v>1005</v>
      </c>
      <c r="C8" s="2">
        <v>46113</v>
      </c>
      <c r="D8" s="12" t="s">
        <v>19</v>
      </c>
      <c r="E8" s="1" t="s">
        <v>20</v>
      </c>
      <c r="F8" s="1" t="s">
        <v>21</v>
      </c>
      <c r="G8" s="6">
        <v>800</v>
      </c>
      <c r="H8" s="13" t="s">
        <v>14</v>
      </c>
    </row>
    <row r="9" spans="2:12" x14ac:dyDescent="0.3">
      <c r="B9" s="1">
        <v>1006</v>
      </c>
      <c r="C9" s="2">
        <v>46143</v>
      </c>
      <c r="D9" s="1" t="s">
        <v>22</v>
      </c>
      <c r="E9" s="1" t="s">
        <v>8</v>
      </c>
      <c r="F9" s="1" t="s">
        <v>13</v>
      </c>
      <c r="G9" s="6">
        <v>1500</v>
      </c>
      <c r="H9" s="1" t="s">
        <v>10</v>
      </c>
    </row>
    <row r="10" spans="2:12" x14ac:dyDescent="0.3">
      <c r="B10" s="1">
        <v>1007</v>
      </c>
      <c r="C10" s="2">
        <v>46143</v>
      </c>
      <c r="D10" s="1" t="s">
        <v>11</v>
      </c>
      <c r="E10" s="1" t="s">
        <v>12</v>
      </c>
      <c r="F10" s="1" t="s">
        <v>9</v>
      </c>
      <c r="G10" s="6">
        <v>5100</v>
      </c>
      <c r="H10" s="1" t="s">
        <v>14</v>
      </c>
    </row>
    <row r="11" spans="2:12" x14ac:dyDescent="0.3">
      <c r="B11" s="1">
        <v>1008</v>
      </c>
      <c r="C11" s="2">
        <v>46174</v>
      </c>
      <c r="D11" s="1" t="s">
        <v>7</v>
      </c>
      <c r="E11" s="1" t="s">
        <v>8</v>
      </c>
      <c r="F11" s="1" t="s">
        <v>9</v>
      </c>
      <c r="G11" s="6">
        <v>5000</v>
      </c>
      <c r="H11" s="1" t="s">
        <v>10</v>
      </c>
      <c r="K11" t="str">
        <f>_xlfn.XLOOKUP(D8,D4:D15,H4:H15)</f>
        <v>Emma</v>
      </c>
    </row>
    <row r="12" spans="2:12" x14ac:dyDescent="0.3">
      <c r="B12" s="16">
        <v>1009</v>
      </c>
      <c r="C12" s="2">
        <v>46204</v>
      </c>
      <c r="D12" s="1" t="s">
        <v>16</v>
      </c>
      <c r="E12" s="1" t="s">
        <v>17</v>
      </c>
      <c r="F12" s="14" t="s">
        <v>15</v>
      </c>
      <c r="G12" s="15">
        <v>250</v>
      </c>
      <c r="H12" s="1" t="s">
        <v>18</v>
      </c>
      <c r="K12" s="3" t="s">
        <v>4</v>
      </c>
      <c r="L12" s="3" t="s">
        <v>5</v>
      </c>
    </row>
    <row r="13" spans="2:12" x14ac:dyDescent="0.3">
      <c r="B13" s="1">
        <v>1010</v>
      </c>
      <c r="C13" s="2">
        <v>46235</v>
      </c>
      <c r="D13" s="1" t="s">
        <v>19</v>
      </c>
      <c r="E13" s="1" t="s">
        <v>20</v>
      </c>
      <c r="F13" s="1" t="s">
        <v>13</v>
      </c>
      <c r="G13" s="6">
        <v>1300</v>
      </c>
      <c r="H13" s="1" t="s">
        <v>14</v>
      </c>
      <c r="K13" t="str" cm="1">
        <f t="array" ref="K13:L13">_xlfn.XLOOKUP(B12,B4:B15,F4:G15)</f>
        <v>Mouse</v>
      </c>
      <c r="L13">
        <v>250</v>
      </c>
    </row>
    <row r="14" spans="2:12" x14ac:dyDescent="0.3">
      <c r="B14" s="1">
        <v>1011</v>
      </c>
      <c r="C14" s="2">
        <v>46235</v>
      </c>
      <c r="D14" s="1" t="s">
        <v>7</v>
      </c>
      <c r="E14" s="1" t="s">
        <v>8</v>
      </c>
      <c r="F14" s="1" t="s">
        <v>9</v>
      </c>
      <c r="G14" s="6">
        <v>5000</v>
      </c>
      <c r="H14" s="1" t="s">
        <v>10</v>
      </c>
    </row>
    <row r="15" spans="2:12" x14ac:dyDescent="0.3">
      <c r="B15" s="1">
        <v>1012</v>
      </c>
      <c r="C15" s="2">
        <v>46266</v>
      </c>
      <c r="D15" s="1" t="s">
        <v>22</v>
      </c>
      <c r="E15" s="1" t="s">
        <v>8</v>
      </c>
      <c r="F15" s="1" t="s">
        <v>21</v>
      </c>
      <c r="G15" s="6">
        <v>900</v>
      </c>
      <c r="H15" s="1" t="s">
        <v>10</v>
      </c>
      <c r="J15" s="1" t="s">
        <v>66</v>
      </c>
      <c r="K15" s="1" t="s">
        <v>67</v>
      </c>
    </row>
    <row r="16" spans="2:12" x14ac:dyDescent="0.3">
      <c r="J16" s="1">
        <v>1011</v>
      </c>
      <c r="K16">
        <f>_xlfn.XLOOKUP(J16,B4:B15,G4:G15,"Not  Found")</f>
        <v>5000</v>
      </c>
    </row>
    <row r="17" spans="10:14" x14ac:dyDescent="0.3">
      <c r="J17" s="1">
        <v>1012</v>
      </c>
      <c r="K17">
        <f>_xlfn.XLOOKUP(J17,B5:B16,G5:G16,"Not  Found")</f>
        <v>900</v>
      </c>
    </row>
    <row r="18" spans="10:14" x14ac:dyDescent="0.3">
      <c r="J18" s="1">
        <v>1004</v>
      </c>
      <c r="K18">
        <f>_xlfn.XLOOKUP(J18,B6:B17,G6:G17,"Not  Found")</f>
        <v>5200</v>
      </c>
    </row>
    <row r="19" spans="10:14" x14ac:dyDescent="0.3">
      <c r="J19" s="1">
        <v>1001</v>
      </c>
      <c r="K19" s="17" t="str">
        <f>_xlfn.XLOOKUP(J19,B7:B18,G7:G18,"Not  Found")</f>
        <v>Not  Found</v>
      </c>
      <c r="L19" t="s">
        <v>68</v>
      </c>
      <c r="M19" t="s">
        <v>69</v>
      </c>
    </row>
    <row r="20" spans="10:14" x14ac:dyDescent="0.3">
      <c r="M20" t="s">
        <v>70</v>
      </c>
    </row>
    <row r="23" spans="10:14" x14ac:dyDescent="0.3">
      <c r="J23" s="18" t="s">
        <v>71</v>
      </c>
      <c r="L23" s="19" t="s">
        <v>72</v>
      </c>
      <c r="M23" s="19"/>
      <c r="N23" s="19"/>
    </row>
    <row r="24" spans="10:14" x14ac:dyDescent="0.3">
      <c r="J24" s="1" t="s">
        <v>66</v>
      </c>
      <c r="K24" s="1" t="s">
        <v>67</v>
      </c>
    </row>
    <row r="25" spans="10:14" x14ac:dyDescent="0.3">
      <c r="J25" s="1">
        <v>1011</v>
      </c>
      <c r="K25">
        <f>_xlfn.XLOOKUP(J25,$B$4:$B$15,$G$4:$G$15)</f>
        <v>5000</v>
      </c>
    </row>
    <row r="26" spans="10:14" x14ac:dyDescent="0.3">
      <c r="J26" s="1">
        <v>1012</v>
      </c>
      <c r="K26">
        <f>_xlfn.XLOOKUP(J26,$B$4:$B$15,$G$4:$G$15)</f>
        <v>900</v>
      </c>
    </row>
    <row r="27" spans="10:14" x14ac:dyDescent="0.3">
      <c r="J27" s="1">
        <v>1004</v>
      </c>
      <c r="K27">
        <f>_xlfn.XLOOKUP(J27,$B$4:$B$15,$G$4:$G$15)</f>
        <v>5200</v>
      </c>
    </row>
    <row r="28" spans="10:14" x14ac:dyDescent="0.3">
      <c r="J28" s="1">
        <v>1001</v>
      </c>
      <c r="K28">
        <f>_xlfn.XLOOKUP(J28,$B$4:$B$15,$G$4:$G$15)</f>
        <v>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1A73-F423-414E-B544-B880B9DF7B0A}">
  <dimension ref="E6:S19"/>
  <sheetViews>
    <sheetView topLeftCell="B7" zoomScale="83" workbookViewId="0">
      <selection activeCell="G7" sqref="G7"/>
    </sheetView>
  </sheetViews>
  <sheetFormatPr defaultRowHeight="14.4" x14ac:dyDescent="0.3"/>
  <sheetData>
    <row r="6" spans="5:19" x14ac:dyDescent="0.3">
      <c r="L6" t="s">
        <v>76</v>
      </c>
      <c r="M6" t="s">
        <v>77</v>
      </c>
      <c r="S6" t="s">
        <v>80</v>
      </c>
    </row>
    <row r="7" spans="5:19" ht="28.8" x14ac:dyDescent="0.3"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3" t="s">
        <v>73</v>
      </c>
      <c r="M7" s="3" t="s">
        <v>78</v>
      </c>
      <c r="N7" s="3" t="s">
        <v>79</v>
      </c>
      <c r="R7" t="s">
        <v>60</v>
      </c>
      <c r="S7">
        <f>COUNTIF(H8:H19,"East")</f>
        <v>6</v>
      </c>
    </row>
    <row r="8" spans="5:19" x14ac:dyDescent="0.3">
      <c r="E8" s="1">
        <v>1001</v>
      </c>
      <c r="F8" s="2">
        <v>46023</v>
      </c>
      <c r="G8" s="1" t="s">
        <v>7</v>
      </c>
      <c r="H8" s="20" t="s">
        <v>8</v>
      </c>
      <c r="I8" s="1" t="s">
        <v>9</v>
      </c>
      <c r="J8" s="6">
        <v>5000</v>
      </c>
      <c r="K8" s="1" t="s">
        <v>10</v>
      </c>
      <c r="L8" s="1" t="s">
        <v>74</v>
      </c>
      <c r="M8" t="str">
        <f>IF(J8&gt;5000,"High","Low")</f>
        <v>Low</v>
      </c>
      <c r="N8" t="str">
        <f>IF(H8="East","CAT A","CATB")</f>
        <v>CAT A</v>
      </c>
      <c r="R8" s="21"/>
    </row>
    <row r="9" spans="5:19" ht="28.8" x14ac:dyDescent="0.3">
      <c r="E9" s="11">
        <v>1002</v>
      </c>
      <c r="F9" s="22">
        <v>46054</v>
      </c>
      <c r="G9" s="1" t="s">
        <v>11</v>
      </c>
      <c r="H9" s="1" t="s">
        <v>12</v>
      </c>
      <c r="I9" s="1" t="s">
        <v>13</v>
      </c>
      <c r="J9" s="7">
        <v>1200</v>
      </c>
      <c r="K9" s="1" t="s">
        <v>14</v>
      </c>
      <c r="L9" s="1" t="s">
        <v>74</v>
      </c>
      <c r="M9" t="str">
        <f t="shared" ref="M9:M19" si="0">IF(J9&gt;5000,"High","Low")</f>
        <v>Low</v>
      </c>
      <c r="N9" t="str">
        <f t="shared" ref="N9:N19" si="1">IF(H9="East","CAT A","CATB")</f>
        <v>CATB</v>
      </c>
    </row>
    <row r="10" spans="5:19" x14ac:dyDescent="0.3">
      <c r="E10" s="1">
        <v>1003</v>
      </c>
      <c r="F10" s="2">
        <v>46054</v>
      </c>
      <c r="G10" s="1" t="s">
        <v>7</v>
      </c>
      <c r="H10" s="20" t="s">
        <v>8</v>
      </c>
      <c r="I10" s="1" t="s">
        <v>15</v>
      </c>
      <c r="J10" s="6">
        <v>200</v>
      </c>
      <c r="K10" s="1" t="s">
        <v>10</v>
      </c>
      <c r="L10" s="1" t="s">
        <v>74</v>
      </c>
      <c r="M10" t="str">
        <f t="shared" si="0"/>
        <v>Low</v>
      </c>
      <c r="N10" t="str">
        <f t="shared" si="1"/>
        <v>CAT A</v>
      </c>
    </row>
    <row r="11" spans="5:19" x14ac:dyDescent="0.3">
      <c r="E11" s="1">
        <v>1004</v>
      </c>
      <c r="F11" s="2">
        <v>46082</v>
      </c>
      <c r="G11" s="1" t="s">
        <v>16</v>
      </c>
      <c r="H11" s="1" t="s">
        <v>17</v>
      </c>
      <c r="I11" s="1" t="s">
        <v>9</v>
      </c>
      <c r="J11" s="6">
        <v>5200</v>
      </c>
      <c r="K11" s="1" t="s">
        <v>18</v>
      </c>
      <c r="L11" s="1" t="s">
        <v>75</v>
      </c>
      <c r="M11" t="str">
        <f t="shared" si="0"/>
        <v>High</v>
      </c>
      <c r="N11" t="str">
        <f t="shared" si="1"/>
        <v>CATB</v>
      </c>
    </row>
    <row r="12" spans="5:19" ht="28.8" x14ac:dyDescent="0.3">
      <c r="E12" s="1">
        <v>1005</v>
      </c>
      <c r="F12" s="2">
        <v>46113</v>
      </c>
      <c r="G12" s="12" t="s">
        <v>19</v>
      </c>
      <c r="H12" s="1" t="s">
        <v>20</v>
      </c>
      <c r="I12" s="1" t="s">
        <v>21</v>
      </c>
      <c r="J12" s="6">
        <v>800</v>
      </c>
      <c r="K12" s="13" t="s">
        <v>14</v>
      </c>
      <c r="M12" t="str">
        <f t="shared" si="0"/>
        <v>Low</v>
      </c>
      <c r="N12" t="str">
        <f t="shared" si="1"/>
        <v>CATB</v>
      </c>
      <c r="S12" t="s">
        <v>81</v>
      </c>
    </row>
    <row r="13" spans="5:19" ht="28.8" x14ac:dyDescent="0.3">
      <c r="E13" s="1">
        <v>1006</v>
      </c>
      <c r="F13" s="23">
        <v>46143</v>
      </c>
      <c r="G13" s="1" t="s">
        <v>22</v>
      </c>
      <c r="H13" s="20" t="s">
        <v>8</v>
      </c>
      <c r="I13" s="1" t="s">
        <v>13</v>
      </c>
      <c r="J13" s="6">
        <v>1500</v>
      </c>
      <c r="K13" s="1" t="s">
        <v>10</v>
      </c>
      <c r="M13" t="str">
        <f t="shared" si="0"/>
        <v>Low</v>
      </c>
      <c r="N13" t="str">
        <f t="shared" si="1"/>
        <v>CAT A</v>
      </c>
      <c r="R13" t="s">
        <v>61</v>
      </c>
      <c r="S13">
        <f>SUMIF(H8:H19,"East",J8:J19)</f>
        <v>17600</v>
      </c>
    </row>
    <row r="14" spans="5:19" ht="28.8" x14ac:dyDescent="0.3">
      <c r="E14" s="1">
        <v>1007</v>
      </c>
      <c r="F14" s="2">
        <v>46143</v>
      </c>
      <c r="G14" s="1" t="s">
        <v>11</v>
      </c>
      <c r="H14" s="1" t="s">
        <v>12</v>
      </c>
      <c r="I14" s="1" t="s">
        <v>9</v>
      </c>
      <c r="J14" s="6">
        <v>5100</v>
      </c>
      <c r="K14" s="1" t="s">
        <v>14</v>
      </c>
      <c r="M14" t="str">
        <f t="shared" si="0"/>
        <v>High</v>
      </c>
      <c r="N14" t="str">
        <f t="shared" si="1"/>
        <v>CATB</v>
      </c>
      <c r="S14" t="s">
        <v>65</v>
      </c>
    </row>
    <row r="15" spans="5:19" x14ac:dyDescent="0.3">
      <c r="E15" s="1">
        <v>1008</v>
      </c>
      <c r="F15" s="2">
        <v>46174</v>
      </c>
      <c r="G15" s="1" t="s">
        <v>7</v>
      </c>
      <c r="H15" s="20" t="s">
        <v>8</v>
      </c>
      <c r="I15" s="1" t="s">
        <v>9</v>
      </c>
      <c r="J15" s="6">
        <v>5000</v>
      </c>
      <c r="K15" s="1" t="s">
        <v>10</v>
      </c>
      <c r="M15" t="str">
        <f t="shared" si="0"/>
        <v>Low</v>
      </c>
      <c r="N15" t="str">
        <f t="shared" si="1"/>
        <v>CAT A</v>
      </c>
      <c r="S15" t="s">
        <v>82</v>
      </c>
    </row>
    <row r="16" spans="5:19" x14ac:dyDescent="0.3">
      <c r="E16" s="16">
        <v>1009</v>
      </c>
      <c r="F16" s="2">
        <v>46204</v>
      </c>
      <c r="G16" s="1" t="s">
        <v>16</v>
      </c>
      <c r="H16" s="1" t="s">
        <v>17</v>
      </c>
      <c r="I16" s="14" t="s">
        <v>15</v>
      </c>
      <c r="J16" s="15">
        <v>250</v>
      </c>
      <c r="K16" s="1" t="s">
        <v>18</v>
      </c>
      <c r="M16" t="str">
        <f t="shared" si="0"/>
        <v>Low</v>
      </c>
      <c r="N16" t="str">
        <f t="shared" si="1"/>
        <v>CATB</v>
      </c>
    </row>
    <row r="17" spans="5:18" ht="28.8" x14ac:dyDescent="0.3">
      <c r="E17" s="1">
        <v>1010</v>
      </c>
      <c r="F17" s="2">
        <v>46235</v>
      </c>
      <c r="G17" s="1" t="s">
        <v>19</v>
      </c>
      <c r="H17" s="1" t="s">
        <v>20</v>
      </c>
      <c r="I17" s="1" t="s">
        <v>13</v>
      </c>
      <c r="J17" s="6">
        <v>1300</v>
      </c>
      <c r="K17" s="1" t="s">
        <v>14</v>
      </c>
      <c r="M17" t="str">
        <f t="shared" si="0"/>
        <v>Low</v>
      </c>
      <c r="N17" t="str">
        <f t="shared" si="1"/>
        <v>CATB</v>
      </c>
    </row>
    <row r="18" spans="5:18" x14ac:dyDescent="0.3">
      <c r="E18" s="1">
        <v>1011</v>
      </c>
      <c r="F18" s="2">
        <v>46235</v>
      </c>
      <c r="G18" s="1" t="s">
        <v>7</v>
      </c>
      <c r="H18" s="20" t="s">
        <v>8</v>
      </c>
      <c r="I18" s="1" t="s">
        <v>9</v>
      </c>
      <c r="J18" s="6">
        <v>5000</v>
      </c>
      <c r="K18" s="1" t="s">
        <v>10</v>
      </c>
      <c r="M18" t="str">
        <f t="shared" si="0"/>
        <v>Low</v>
      </c>
      <c r="N18" t="str">
        <f t="shared" si="1"/>
        <v>CAT A</v>
      </c>
      <c r="R18">
        <f>SUMIF(F8:F19,"5/1/2026",J8:J19)</f>
        <v>6600</v>
      </c>
    </row>
    <row r="19" spans="5:18" ht="28.8" x14ac:dyDescent="0.3">
      <c r="E19" s="1">
        <v>1012</v>
      </c>
      <c r="F19" s="2">
        <v>46266</v>
      </c>
      <c r="G19" s="1" t="s">
        <v>22</v>
      </c>
      <c r="H19" s="20" t="s">
        <v>8</v>
      </c>
      <c r="I19" s="1" t="s">
        <v>21</v>
      </c>
      <c r="J19" s="6">
        <v>900</v>
      </c>
      <c r="K19" s="1" t="s">
        <v>10</v>
      </c>
      <c r="M19" t="str">
        <f t="shared" si="0"/>
        <v>Low</v>
      </c>
      <c r="N19" t="str">
        <f t="shared" si="1"/>
        <v>CAT 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E042-5996-4C04-AE77-DC7D23F9310D}">
  <dimension ref="D7:P19"/>
  <sheetViews>
    <sheetView topLeftCell="A4" workbookViewId="0">
      <selection activeCell="D7" sqref="D7:J19"/>
    </sheetView>
  </sheetViews>
  <sheetFormatPr defaultRowHeight="14.4" x14ac:dyDescent="0.3"/>
  <cols>
    <col min="5" max="5" width="10.33203125" customWidth="1"/>
    <col min="6" max="6" width="16.21875" customWidth="1"/>
    <col min="9" max="9" width="13.88671875" customWidth="1"/>
    <col min="10" max="10" width="11.33203125" customWidth="1"/>
    <col min="13" max="13" width="10.5546875" bestFit="1" customWidth="1"/>
    <col min="14" max="14" width="9.77734375" bestFit="1" customWidth="1"/>
    <col min="15" max="15" width="13.77734375" bestFit="1" customWidth="1"/>
    <col min="16" max="16" width="18.5546875" bestFit="1" customWidth="1"/>
  </cols>
  <sheetData>
    <row r="7" spans="4:16" ht="28.8" x14ac:dyDescent="0.3">
      <c r="D7" s="3" t="s">
        <v>0</v>
      </c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</row>
    <row r="8" spans="4:16" x14ac:dyDescent="0.3">
      <c r="D8" s="1">
        <v>1001</v>
      </c>
      <c r="E8" s="2">
        <v>46023</v>
      </c>
      <c r="F8" s="1" t="s">
        <v>7</v>
      </c>
      <c r="G8" s="1" t="s">
        <v>8</v>
      </c>
      <c r="H8" s="1" t="s">
        <v>9</v>
      </c>
      <c r="I8" s="6">
        <v>5000</v>
      </c>
      <c r="J8" s="1" t="s">
        <v>10</v>
      </c>
      <c r="M8" s="8" t="s">
        <v>4</v>
      </c>
      <c r="N8" t="s">
        <v>9</v>
      </c>
    </row>
    <row r="9" spans="4:16" ht="28.8" x14ac:dyDescent="0.3">
      <c r="D9" s="1">
        <v>1002</v>
      </c>
      <c r="E9" s="2">
        <v>46054</v>
      </c>
      <c r="F9" s="1" t="s">
        <v>11</v>
      </c>
      <c r="G9" s="1" t="s">
        <v>12</v>
      </c>
      <c r="H9" s="1" t="s">
        <v>13</v>
      </c>
      <c r="I9" s="6">
        <v>1200</v>
      </c>
      <c r="J9" s="1" t="s">
        <v>14</v>
      </c>
    </row>
    <row r="10" spans="4:16" x14ac:dyDescent="0.3">
      <c r="D10" s="1">
        <v>1003</v>
      </c>
      <c r="E10" s="2">
        <v>46054</v>
      </c>
      <c r="F10" s="1" t="s">
        <v>7</v>
      </c>
      <c r="G10" s="1" t="s">
        <v>8</v>
      </c>
      <c r="H10" s="1" t="s">
        <v>15</v>
      </c>
      <c r="I10" s="6">
        <v>200</v>
      </c>
      <c r="J10" s="1" t="s">
        <v>10</v>
      </c>
      <c r="M10" s="8" t="s">
        <v>3</v>
      </c>
      <c r="N10" t="s">
        <v>83</v>
      </c>
      <c r="O10" t="s">
        <v>63</v>
      </c>
      <c r="P10" t="s">
        <v>64</v>
      </c>
    </row>
    <row r="11" spans="4:16" x14ac:dyDescent="0.3">
      <c r="D11" s="1">
        <v>1004</v>
      </c>
      <c r="E11" s="2">
        <v>46082</v>
      </c>
      <c r="F11" s="1" t="s">
        <v>16</v>
      </c>
      <c r="G11" s="1" t="s">
        <v>17</v>
      </c>
      <c r="H11" s="1" t="s">
        <v>9</v>
      </c>
      <c r="I11" s="6">
        <v>5200</v>
      </c>
      <c r="J11" s="1" t="s">
        <v>18</v>
      </c>
      <c r="M11" s="9" t="s">
        <v>8</v>
      </c>
      <c r="N11" s="10">
        <v>15000</v>
      </c>
      <c r="O11" s="10">
        <v>3</v>
      </c>
      <c r="P11" s="10">
        <v>5000</v>
      </c>
    </row>
    <row r="12" spans="4:16" ht="28.8" x14ac:dyDescent="0.3">
      <c r="D12" s="1">
        <v>1005</v>
      </c>
      <c r="E12" s="2">
        <v>46113</v>
      </c>
      <c r="F12" s="1" t="s">
        <v>19</v>
      </c>
      <c r="G12" s="1" t="s">
        <v>20</v>
      </c>
      <c r="H12" s="1" t="s">
        <v>21</v>
      </c>
      <c r="I12" s="6">
        <v>800</v>
      </c>
      <c r="J12" s="1" t="s">
        <v>14</v>
      </c>
      <c r="M12" s="9" t="s">
        <v>17</v>
      </c>
      <c r="N12" s="10">
        <v>5200</v>
      </c>
      <c r="O12" s="10">
        <v>1</v>
      </c>
      <c r="P12" s="10">
        <v>5200</v>
      </c>
    </row>
    <row r="13" spans="4:16" ht="28.8" x14ac:dyDescent="0.3">
      <c r="D13" s="1">
        <v>1006</v>
      </c>
      <c r="E13" s="2">
        <v>46143</v>
      </c>
      <c r="F13" s="1" t="s">
        <v>22</v>
      </c>
      <c r="G13" s="1" t="s">
        <v>8</v>
      </c>
      <c r="H13" s="1" t="s">
        <v>13</v>
      </c>
      <c r="I13" s="6">
        <v>1500</v>
      </c>
      <c r="J13" s="1" t="s">
        <v>10</v>
      </c>
      <c r="M13" s="9" t="s">
        <v>12</v>
      </c>
      <c r="N13" s="10">
        <v>5100</v>
      </c>
      <c r="O13" s="10">
        <v>1</v>
      </c>
      <c r="P13" s="10">
        <v>5100</v>
      </c>
    </row>
    <row r="14" spans="4:16" ht="28.8" x14ac:dyDescent="0.3">
      <c r="D14" s="1">
        <v>1007</v>
      </c>
      <c r="E14" s="2">
        <v>46143</v>
      </c>
      <c r="F14" s="1" t="s">
        <v>11</v>
      </c>
      <c r="G14" s="1" t="s">
        <v>12</v>
      </c>
      <c r="H14" s="1" t="s">
        <v>9</v>
      </c>
      <c r="I14" s="6">
        <v>5100</v>
      </c>
      <c r="J14" s="1" t="s">
        <v>14</v>
      </c>
      <c r="M14" s="9" t="s">
        <v>62</v>
      </c>
      <c r="N14" s="10">
        <v>25300</v>
      </c>
      <c r="O14" s="10">
        <v>5</v>
      </c>
      <c r="P14" s="10">
        <v>5200</v>
      </c>
    </row>
    <row r="15" spans="4:16" x14ac:dyDescent="0.3">
      <c r="D15" s="1">
        <v>1008</v>
      </c>
      <c r="E15" s="2">
        <v>46174</v>
      </c>
      <c r="F15" s="1" t="s">
        <v>7</v>
      </c>
      <c r="G15" s="1" t="s">
        <v>8</v>
      </c>
      <c r="H15" s="1" t="s">
        <v>9</v>
      </c>
      <c r="I15" s="6">
        <v>5000</v>
      </c>
      <c r="J15" s="1" t="s">
        <v>10</v>
      </c>
    </row>
    <row r="16" spans="4:16" x14ac:dyDescent="0.3">
      <c r="D16" s="1">
        <v>1009</v>
      </c>
      <c r="E16" s="2">
        <v>46204</v>
      </c>
      <c r="F16" s="1" t="s">
        <v>16</v>
      </c>
      <c r="G16" s="1" t="s">
        <v>17</v>
      </c>
      <c r="H16" s="1" t="s">
        <v>15</v>
      </c>
      <c r="I16" s="6">
        <v>250</v>
      </c>
      <c r="J16" s="1" t="s">
        <v>18</v>
      </c>
    </row>
    <row r="17" spans="4:10" ht="28.8" x14ac:dyDescent="0.3">
      <c r="D17" s="1">
        <v>1010</v>
      </c>
      <c r="E17" s="2">
        <v>46235</v>
      </c>
      <c r="F17" s="1" t="s">
        <v>19</v>
      </c>
      <c r="G17" s="1" t="s">
        <v>20</v>
      </c>
      <c r="H17" s="1" t="s">
        <v>13</v>
      </c>
      <c r="I17" s="6">
        <v>1300</v>
      </c>
      <c r="J17" s="1" t="s">
        <v>14</v>
      </c>
    </row>
    <row r="18" spans="4:10" x14ac:dyDescent="0.3">
      <c r="D18" s="1">
        <v>1011</v>
      </c>
      <c r="E18" s="2">
        <v>46235</v>
      </c>
      <c r="F18" s="1" t="s">
        <v>7</v>
      </c>
      <c r="G18" s="1" t="s">
        <v>8</v>
      </c>
      <c r="H18" s="1" t="s">
        <v>9</v>
      </c>
      <c r="I18" s="6">
        <v>5000</v>
      </c>
      <c r="J18" s="1" t="s">
        <v>10</v>
      </c>
    </row>
    <row r="19" spans="4:10" ht="28.8" x14ac:dyDescent="0.3">
      <c r="D19" s="1">
        <v>1012</v>
      </c>
      <c r="E19" s="2">
        <v>46266</v>
      </c>
      <c r="F19" s="1" t="s">
        <v>22</v>
      </c>
      <c r="G19" s="1" t="s">
        <v>8</v>
      </c>
      <c r="H19" s="1" t="s">
        <v>21</v>
      </c>
      <c r="I19" s="6">
        <v>900</v>
      </c>
      <c r="J19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665E-E17B-45D0-BEFC-25C26497228E}">
  <dimension ref="E7:K19"/>
  <sheetViews>
    <sheetView topLeftCell="A5" workbookViewId="0">
      <selection activeCell="J22" sqref="J22"/>
    </sheetView>
  </sheetViews>
  <sheetFormatPr defaultRowHeight="14.4" x14ac:dyDescent="0.3"/>
  <cols>
    <col min="6" max="6" width="13.44140625" customWidth="1"/>
    <col min="7" max="7" width="15.21875" customWidth="1"/>
    <col min="8" max="8" width="12.88671875" customWidth="1"/>
    <col min="9" max="10" width="13.77734375" customWidth="1"/>
    <col min="11" max="11" width="15.21875" customWidth="1"/>
  </cols>
  <sheetData>
    <row r="7" spans="5:11" ht="28.8" x14ac:dyDescent="0.3"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</row>
    <row r="8" spans="5:11" x14ac:dyDescent="0.3">
      <c r="E8" s="1">
        <v>1001</v>
      </c>
      <c r="F8" s="2">
        <v>46023</v>
      </c>
      <c r="G8" s="1" t="s">
        <v>7</v>
      </c>
      <c r="H8" s="1" t="s">
        <v>8</v>
      </c>
      <c r="I8" s="1" t="s">
        <v>9</v>
      </c>
      <c r="J8" s="6">
        <v>5000</v>
      </c>
      <c r="K8" s="1" t="s">
        <v>10</v>
      </c>
    </row>
    <row r="9" spans="5:11" ht="28.8" x14ac:dyDescent="0.3">
      <c r="E9" s="1">
        <v>1002</v>
      </c>
      <c r="F9" s="2">
        <v>46054</v>
      </c>
      <c r="G9" s="1" t="s">
        <v>11</v>
      </c>
      <c r="H9" s="1" t="s">
        <v>12</v>
      </c>
      <c r="I9" s="1" t="s">
        <v>13</v>
      </c>
      <c r="J9" s="6">
        <v>1200</v>
      </c>
      <c r="K9" s="1" t="s">
        <v>14</v>
      </c>
    </row>
    <row r="10" spans="5:11" x14ac:dyDescent="0.3">
      <c r="E10" s="1">
        <v>1003</v>
      </c>
      <c r="F10" s="2">
        <v>46054</v>
      </c>
      <c r="G10" s="1" t="s">
        <v>7</v>
      </c>
      <c r="H10" s="1" t="s">
        <v>8</v>
      </c>
      <c r="I10" s="1" t="s">
        <v>15</v>
      </c>
      <c r="J10" s="6">
        <v>200</v>
      </c>
      <c r="K10" s="1" t="s">
        <v>10</v>
      </c>
    </row>
    <row r="11" spans="5:11" x14ac:dyDescent="0.3">
      <c r="E11" s="1">
        <v>1004</v>
      </c>
      <c r="F11" s="2">
        <v>46082</v>
      </c>
      <c r="G11" s="1" t="s">
        <v>16</v>
      </c>
      <c r="H11" s="1" t="s">
        <v>17</v>
      </c>
      <c r="I11" s="1" t="s">
        <v>9</v>
      </c>
      <c r="J11" s="6">
        <v>5200</v>
      </c>
      <c r="K11" s="1" t="s">
        <v>18</v>
      </c>
    </row>
    <row r="12" spans="5:11" ht="28.8" x14ac:dyDescent="0.3">
      <c r="E12" s="1">
        <v>1005</v>
      </c>
      <c r="F12" s="2">
        <v>46113</v>
      </c>
      <c r="G12" s="1" t="s">
        <v>19</v>
      </c>
      <c r="H12" s="1" t="s">
        <v>20</v>
      </c>
      <c r="I12" s="1" t="s">
        <v>21</v>
      </c>
      <c r="J12" s="6">
        <v>800</v>
      </c>
      <c r="K12" s="1" t="s">
        <v>14</v>
      </c>
    </row>
    <row r="13" spans="5:11" ht="28.8" x14ac:dyDescent="0.3">
      <c r="E13" s="1">
        <v>1006</v>
      </c>
      <c r="F13" s="2">
        <v>46143</v>
      </c>
      <c r="G13" s="1" t="s">
        <v>22</v>
      </c>
      <c r="H13" s="1" t="s">
        <v>8</v>
      </c>
      <c r="I13" s="1" t="s">
        <v>13</v>
      </c>
      <c r="J13" s="6">
        <v>1500</v>
      </c>
      <c r="K13" s="1" t="s">
        <v>10</v>
      </c>
    </row>
    <row r="14" spans="5:11" ht="28.8" x14ac:dyDescent="0.3">
      <c r="E14" s="1">
        <v>1007</v>
      </c>
      <c r="F14" s="2">
        <v>46143</v>
      </c>
      <c r="G14" s="1" t="s">
        <v>11</v>
      </c>
      <c r="H14" s="1" t="s">
        <v>12</v>
      </c>
      <c r="I14" s="1" t="s">
        <v>9</v>
      </c>
      <c r="J14" s="6">
        <v>5100</v>
      </c>
      <c r="K14" s="1" t="s">
        <v>14</v>
      </c>
    </row>
    <row r="15" spans="5:11" x14ac:dyDescent="0.3">
      <c r="E15" s="1">
        <v>1008</v>
      </c>
      <c r="F15" s="2">
        <v>46174</v>
      </c>
      <c r="G15" s="1" t="s">
        <v>7</v>
      </c>
      <c r="H15" s="1" t="s">
        <v>8</v>
      </c>
      <c r="I15" s="1" t="s">
        <v>9</v>
      </c>
      <c r="J15" s="6">
        <v>5000</v>
      </c>
      <c r="K15" s="1" t="s">
        <v>10</v>
      </c>
    </row>
    <row r="16" spans="5:11" x14ac:dyDescent="0.3">
      <c r="E16" s="1">
        <v>1009</v>
      </c>
      <c r="F16" s="2">
        <v>46204</v>
      </c>
      <c r="G16" s="1" t="s">
        <v>16</v>
      </c>
      <c r="H16" s="1" t="s">
        <v>17</v>
      </c>
      <c r="I16" s="1" t="s">
        <v>15</v>
      </c>
      <c r="J16" s="6">
        <v>250</v>
      </c>
      <c r="K16" s="1" t="s">
        <v>18</v>
      </c>
    </row>
    <row r="17" spans="5:11" ht="28.8" x14ac:dyDescent="0.3">
      <c r="E17" s="1">
        <v>1010</v>
      </c>
      <c r="F17" s="2">
        <v>46235</v>
      </c>
      <c r="G17" s="1" t="s">
        <v>19</v>
      </c>
      <c r="H17" s="1" t="s">
        <v>20</v>
      </c>
      <c r="I17" s="1" t="s">
        <v>13</v>
      </c>
      <c r="J17" s="6">
        <v>1300</v>
      </c>
      <c r="K17" s="1" t="s">
        <v>14</v>
      </c>
    </row>
    <row r="18" spans="5:11" x14ac:dyDescent="0.3">
      <c r="E18" s="1">
        <v>1011</v>
      </c>
      <c r="F18" s="2">
        <v>46235</v>
      </c>
      <c r="G18" s="1" t="s">
        <v>7</v>
      </c>
      <c r="H18" s="1" t="s">
        <v>8</v>
      </c>
      <c r="I18" s="1" t="s">
        <v>9</v>
      </c>
      <c r="J18" s="6">
        <v>5000</v>
      </c>
      <c r="K18" s="1" t="s">
        <v>10</v>
      </c>
    </row>
    <row r="19" spans="5:11" ht="28.8" x14ac:dyDescent="0.3">
      <c r="E19" s="1">
        <v>1012</v>
      </c>
      <c r="F19" s="2">
        <v>46266</v>
      </c>
      <c r="G19" s="1" t="s">
        <v>22</v>
      </c>
      <c r="H19" s="1" t="s">
        <v>8</v>
      </c>
      <c r="I19" s="1" t="s">
        <v>21</v>
      </c>
      <c r="J19" s="6">
        <v>900</v>
      </c>
      <c r="K19" s="1" t="s">
        <v>10</v>
      </c>
    </row>
  </sheetData>
  <conditionalFormatting sqref="J8:J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I8:I19">
    <cfRule type="containsText" dxfId="1" priority="3" operator="containsText" text="Laptop">
      <formula>NOT(ISERROR(SEARCH("Laptop",I8)))</formula>
    </cfRule>
    <cfRule type="containsText" dxfId="0" priority="2" operator="containsText" text="Mouse">
      <formula>NOT(ISERROR(SEARCH("Mouse",I8)))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9DD2-09AB-4275-9985-22709F38981D}">
  <dimension ref="D6:S18"/>
  <sheetViews>
    <sheetView topLeftCell="A3" workbookViewId="0">
      <selection activeCell="D6" sqref="D6:J18"/>
    </sheetView>
  </sheetViews>
  <sheetFormatPr defaultRowHeight="14.4" x14ac:dyDescent="0.3"/>
  <cols>
    <col min="5" max="5" width="13.109375" customWidth="1"/>
    <col min="6" max="6" width="15" customWidth="1"/>
    <col min="9" max="9" width="13" customWidth="1"/>
    <col min="10" max="10" width="11" customWidth="1"/>
  </cols>
  <sheetData>
    <row r="6" spans="4:19" ht="28.8" x14ac:dyDescent="0.3"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5</v>
      </c>
      <c r="J6" s="3" t="s">
        <v>6</v>
      </c>
    </row>
    <row r="7" spans="4:19" x14ac:dyDescent="0.3">
      <c r="D7" s="1">
        <v>1001</v>
      </c>
      <c r="E7" s="2">
        <v>46023</v>
      </c>
      <c r="F7" s="1" t="s">
        <v>7</v>
      </c>
      <c r="G7" s="1" t="s">
        <v>8</v>
      </c>
      <c r="H7" s="1" t="s">
        <v>9</v>
      </c>
      <c r="I7" s="6">
        <v>5000</v>
      </c>
      <c r="J7" s="1" t="s">
        <v>10</v>
      </c>
      <c r="M7" cm="1">
        <f t="array" ref="M7:S11">_xlfn._xlws.FILTER(D6:J18,H6:H18="Laptop")</f>
        <v>1001</v>
      </c>
      <c r="N7">
        <v>46023</v>
      </c>
      <c r="O7" t="str">
        <v>Ali Khan</v>
      </c>
      <c r="P7" t="str">
        <v>East</v>
      </c>
      <c r="Q7" t="str">
        <v>Laptop</v>
      </c>
      <c r="R7">
        <v>5000</v>
      </c>
      <c r="S7" t="str">
        <v>John</v>
      </c>
    </row>
    <row r="8" spans="4:19" ht="28.8" x14ac:dyDescent="0.3">
      <c r="D8" s="1">
        <v>1002</v>
      </c>
      <c r="E8" s="2">
        <v>46054</v>
      </c>
      <c r="F8" s="1" t="s">
        <v>11</v>
      </c>
      <c r="G8" s="1" t="s">
        <v>12</v>
      </c>
      <c r="H8" s="1" t="s">
        <v>13</v>
      </c>
      <c r="I8" s="6">
        <v>1200</v>
      </c>
      <c r="J8" s="1" t="s">
        <v>14</v>
      </c>
      <c r="M8">
        <v>1004</v>
      </c>
      <c r="N8">
        <v>46082</v>
      </c>
      <c r="O8" t="str">
        <v>David Lee</v>
      </c>
      <c r="P8" t="str">
        <v>North</v>
      </c>
      <c r="Q8" t="str">
        <v>Laptop</v>
      </c>
      <c r="R8">
        <v>5200</v>
      </c>
      <c r="S8" t="str">
        <v>Alex</v>
      </c>
    </row>
    <row r="9" spans="4:19" x14ac:dyDescent="0.3">
      <c r="D9" s="1">
        <v>1003</v>
      </c>
      <c r="E9" s="2">
        <v>46054</v>
      </c>
      <c r="F9" s="1" t="s">
        <v>7</v>
      </c>
      <c r="G9" s="1" t="s">
        <v>8</v>
      </c>
      <c r="H9" s="1" t="s">
        <v>15</v>
      </c>
      <c r="I9" s="6">
        <v>200</v>
      </c>
      <c r="J9" s="1" t="s">
        <v>10</v>
      </c>
      <c r="M9">
        <v>1007</v>
      </c>
      <c r="N9">
        <v>46143</v>
      </c>
      <c r="O9" t="str">
        <v>Sara Ahmed</v>
      </c>
      <c r="P9" t="str">
        <v>West</v>
      </c>
      <c r="Q9" t="str">
        <v>Laptop</v>
      </c>
      <c r="R9">
        <v>5100</v>
      </c>
      <c r="S9" t="str">
        <v>Emma</v>
      </c>
    </row>
    <row r="10" spans="4:19" x14ac:dyDescent="0.3">
      <c r="D10" s="1">
        <v>1004</v>
      </c>
      <c r="E10" s="2">
        <v>46082</v>
      </c>
      <c r="F10" s="1" t="s">
        <v>16</v>
      </c>
      <c r="G10" s="1" t="s">
        <v>17</v>
      </c>
      <c r="H10" s="1" t="s">
        <v>9</v>
      </c>
      <c r="I10" s="6">
        <v>5200</v>
      </c>
      <c r="J10" s="1" t="s">
        <v>18</v>
      </c>
      <c r="M10">
        <v>1008</v>
      </c>
      <c r="N10">
        <v>46174</v>
      </c>
      <c r="O10" t="str">
        <v>Ali Khan</v>
      </c>
      <c r="P10" t="str">
        <v>East</v>
      </c>
      <c r="Q10" t="str">
        <v>Laptop</v>
      </c>
      <c r="R10">
        <v>5000</v>
      </c>
      <c r="S10" t="str">
        <v>John</v>
      </c>
    </row>
    <row r="11" spans="4:19" ht="28.8" x14ac:dyDescent="0.3">
      <c r="D11" s="1">
        <v>1005</v>
      </c>
      <c r="E11" s="2">
        <v>46113</v>
      </c>
      <c r="F11" s="1" t="s">
        <v>19</v>
      </c>
      <c r="G11" s="1" t="s">
        <v>20</v>
      </c>
      <c r="H11" s="1" t="s">
        <v>21</v>
      </c>
      <c r="I11" s="6">
        <v>800</v>
      </c>
      <c r="J11" s="1" t="s">
        <v>14</v>
      </c>
      <c r="M11">
        <v>1011</v>
      </c>
      <c r="N11">
        <v>46235</v>
      </c>
      <c r="O11" t="str">
        <v>Ali Khan</v>
      </c>
      <c r="P11" t="str">
        <v>East</v>
      </c>
      <c r="Q11" t="str">
        <v>Laptop</v>
      </c>
      <c r="R11">
        <v>5000</v>
      </c>
      <c r="S11" t="str">
        <v>John</v>
      </c>
    </row>
    <row r="12" spans="4:19" ht="28.8" x14ac:dyDescent="0.3">
      <c r="D12" s="1">
        <v>1006</v>
      </c>
      <c r="E12" s="2">
        <v>46143</v>
      </c>
      <c r="F12" s="1" t="s">
        <v>22</v>
      </c>
      <c r="G12" s="1" t="s">
        <v>8</v>
      </c>
      <c r="H12" s="1" t="s">
        <v>13</v>
      </c>
      <c r="I12" s="6">
        <v>1500</v>
      </c>
      <c r="J12" s="1" t="s">
        <v>10</v>
      </c>
    </row>
    <row r="13" spans="4:19" ht="28.8" x14ac:dyDescent="0.3">
      <c r="D13" s="1">
        <v>1007</v>
      </c>
      <c r="E13" s="2">
        <v>46143</v>
      </c>
      <c r="F13" s="1" t="s">
        <v>11</v>
      </c>
      <c r="G13" s="1" t="s">
        <v>12</v>
      </c>
      <c r="H13" s="1" t="s">
        <v>9</v>
      </c>
      <c r="I13" s="6">
        <v>5100</v>
      </c>
      <c r="J13" s="1" t="s">
        <v>14</v>
      </c>
    </row>
    <row r="14" spans="4:19" x14ac:dyDescent="0.3">
      <c r="D14" s="1">
        <v>1008</v>
      </c>
      <c r="E14" s="2">
        <v>46174</v>
      </c>
      <c r="F14" s="1" t="s">
        <v>7</v>
      </c>
      <c r="G14" s="1" t="s">
        <v>8</v>
      </c>
      <c r="H14" s="1" t="s">
        <v>9</v>
      </c>
      <c r="I14" s="6">
        <v>5000</v>
      </c>
      <c r="J14" s="1" t="s">
        <v>10</v>
      </c>
    </row>
    <row r="15" spans="4:19" x14ac:dyDescent="0.3">
      <c r="D15" s="1">
        <v>1009</v>
      </c>
      <c r="E15" s="2">
        <v>46204</v>
      </c>
      <c r="F15" s="1" t="s">
        <v>16</v>
      </c>
      <c r="G15" s="1" t="s">
        <v>17</v>
      </c>
      <c r="H15" s="1" t="s">
        <v>15</v>
      </c>
      <c r="I15" s="6">
        <v>250</v>
      </c>
      <c r="J15" s="1" t="s">
        <v>18</v>
      </c>
    </row>
    <row r="16" spans="4:19" ht="28.8" x14ac:dyDescent="0.3">
      <c r="D16" s="1">
        <v>1010</v>
      </c>
      <c r="E16" s="2">
        <v>46235</v>
      </c>
      <c r="F16" s="1" t="s">
        <v>19</v>
      </c>
      <c r="G16" s="1" t="s">
        <v>20</v>
      </c>
      <c r="H16" s="1" t="s">
        <v>13</v>
      </c>
      <c r="I16" s="6">
        <v>1300</v>
      </c>
      <c r="J16" s="1" t="s">
        <v>14</v>
      </c>
    </row>
    <row r="17" spans="4:10" x14ac:dyDescent="0.3">
      <c r="D17" s="1">
        <v>1011</v>
      </c>
      <c r="E17" s="2">
        <v>46235</v>
      </c>
      <c r="F17" s="1" t="s">
        <v>7</v>
      </c>
      <c r="G17" s="1" t="s">
        <v>8</v>
      </c>
      <c r="H17" s="1" t="s">
        <v>9</v>
      </c>
      <c r="I17" s="6">
        <v>5000</v>
      </c>
      <c r="J17" s="1" t="s">
        <v>10</v>
      </c>
    </row>
    <row r="18" spans="4:10" ht="28.8" x14ac:dyDescent="0.3">
      <c r="D18" s="1">
        <v>1012</v>
      </c>
      <c r="E18" s="2">
        <v>46266</v>
      </c>
      <c r="F18" s="1" t="s">
        <v>22</v>
      </c>
      <c r="G18" s="1" t="s">
        <v>8</v>
      </c>
      <c r="H18" s="1" t="s">
        <v>21</v>
      </c>
      <c r="I18" s="6">
        <v>900</v>
      </c>
      <c r="J18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B704-8CAB-47D8-AE79-B26B87055BBF}">
  <dimension ref="C6:M19"/>
  <sheetViews>
    <sheetView topLeftCell="A3" workbookViewId="0">
      <selection activeCell="G7" sqref="G7:M21"/>
    </sheetView>
  </sheetViews>
  <sheetFormatPr defaultRowHeight="14.4" x14ac:dyDescent="0.3"/>
  <cols>
    <col min="8" max="8" width="12.77734375" customWidth="1"/>
    <col min="9" max="9" width="15.77734375" customWidth="1"/>
    <col min="12" max="12" width="14.33203125" customWidth="1"/>
    <col min="13" max="13" width="12.21875" customWidth="1"/>
  </cols>
  <sheetData>
    <row r="6" spans="3:13" x14ac:dyDescent="0.3">
      <c r="C6" t="s">
        <v>84</v>
      </c>
    </row>
    <row r="7" spans="3:13" ht="28.8" x14ac:dyDescent="0.3">
      <c r="G7" s="3" t="s">
        <v>0</v>
      </c>
      <c r="H7" s="3" t="s">
        <v>1</v>
      </c>
      <c r="I7" s="3" t="s">
        <v>2</v>
      </c>
      <c r="J7" s="3" t="s">
        <v>3</v>
      </c>
      <c r="K7" s="3" t="s">
        <v>4</v>
      </c>
      <c r="L7" s="3" t="s">
        <v>5</v>
      </c>
      <c r="M7" s="3" t="s">
        <v>6</v>
      </c>
    </row>
    <row r="8" spans="3:13" x14ac:dyDescent="0.3">
      <c r="G8" s="1">
        <v>1001</v>
      </c>
      <c r="H8" s="2">
        <v>46023</v>
      </c>
      <c r="I8" s="1" t="s">
        <v>7</v>
      </c>
      <c r="J8" s="1" t="s">
        <v>8</v>
      </c>
      <c r="K8" s="1" t="s">
        <v>9</v>
      </c>
      <c r="L8" s="6">
        <v>5000</v>
      </c>
      <c r="M8" s="1" t="s">
        <v>10</v>
      </c>
    </row>
    <row r="9" spans="3:13" ht="28.8" x14ac:dyDescent="0.3">
      <c r="G9" s="1">
        <v>1002</v>
      </c>
      <c r="H9" s="2">
        <v>46054</v>
      </c>
      <c r="I9" s="1" t="s">
        <v>11</v>
      </c>
      <c r="J9" s="1" t="s">
        <v>12</v>
      </c>
      <c r="K9" s="1" t="s">
        <v>13</v>
      </c>
      <c r="L9" s="6">
        <v>1200</v>
      </c>
      <c r="M9" s="1" t="s">
        <v>14</v>
      </c>
    </row>
    <row r="10" spans="3:13" x14ac:dyDescent="0.3">
      <c r="G10" s="1">
        <v>1003</v>
      </c>
      <c r="H10" s="2">
        <v>46054</v>
      </c>
      <c r="I10" s="1" t="s">
        <v>7</v>
      </c>
      <c r="J10" s="1" t="s">
        <v>8</v>
      </c>
      <c r="K10" s="1" t="s">
        <v>15</v>
      </c>
      <c r="L10" s="6">
        <v>200</v>
      </c>
      <c r="M10" s="1" t="s">
        <v>10</v>
      </c>
    </row>
    <row r="11" spans="3:13" x14ac:dyDescent="0.3">
      <c r="G11" s="1">
        <v>1004</v>
      </c>
      <c r="H11" s="2">
        <v>46082</v>
      </c>
      <c r="I11" s="1" t="s">
        <v>16</v>
      </c>
      <c r="J11" s="1" t="s">
        <v>17</v>
      </c>
      <c r="K11" s="1" t="s">
        <v>9</v>
      </c>
      <c r="L11" s="6">
        <v>5200</v>
      </c>
      <c r="M11" s="1" t="s">
        <v>18</v>
      </c>
    </row>
    <row r="12" spans="3:13" ht="28.8" x14ac:dyDescent="0.3">
      <c r="G12" s="1">
        <v>1005</v>
      </c>
      <c r="H12" s="2">
        <v>46113</v>
      </c>
      <c r="I12" s="1" t="s">
        <v>19</v>
      </c>
      <c r="J12" s="1" t="s">
        <v>20</v>
      </c>
      <c r="K12" s="1" t="s">
        <v>21</v>
      </c>
      <c r="L12" s="6">
        <v>800</v>
      </c>
      <c r="M12" s="1" t="s">
        <v>14</v>
      </c>
    </row>
    <row r="13" spans="3:13" ht="28.8" x14ac:dyDescent="0.3">
      <c r="G13" s="1">
        <v>1006</v>
      </c>
      <c r="H13" s="2">
        <v>46143</v>
      </c>
      <c r="I13" s="1" t="s">
        <v>22</v>
      </c>
      <c r="J13" s="1" t="s">
        <v>8</v>
      </c>
      <c r="K13" s="1" t="s">
        <v>13</v>
      </c>
      <c r="L13" s="6">
        <v>1500</v>
      </c>
      <c r="M13" s="1" t="s">
        <v>10</v>
      </c>
    </row>
    <row r="14" spans="3:13" ht="28.8" x14ac:dyDescent="0.3">
      <c r="G14" s="1">
        <v>1007</v>
      </c>
      <c r="H14" s="2">
        <v>46143</v>
      </c>
      <c r="I14" s="1" t="s">
        <v>11</v>
      </c>
      <c r="J14" s="1" t="s">
        <v>12</v>
      </c>
      <c r="K14" s="1" t="s">
        <v>9</v>
      </c>
      <c r="L14" s="6">
        <v>5100</v>
      </c>
      <c r="M14" s="1" t="s">
        <v>14</v>
      </c>
    </row>
    <row r="15" spans="3:13" x14ac:dyDescent="0.3">
      <c r="G15" s="1">
        <v>1008</v>
      </c>
      <c r="H15" s="2">
        <v>46174</v>
      </c>
      <c r="I15" s="1" t="s">
        <v>7</v>
      </c>
      <c r="J15" s="1" t="s">
        <v>8</v>
      </c>
      <c r="K15" s="1" t="s">
        <v>9</v>
      </c>
      <c r="L15" s="6">
        <v>5000</v>
      </c>
      <c r="M15" s="1" t="s">
        <v>10</v>
      </c>
    </row>
    <row r="16" spans="3:13" x14ac:dyDescent="0.3">
      <c r="G16" s="1">
        <v>1009</v>
      </c>
      <c r="H16" s="2">
        <v>46204</v>
      </c>
      <c r="I16" s="1" t="s">
        <v>16</v>
      </c>
      <c r="J16" s="1" t="s">
        <v>17</v>
      </c>
      <c r="K16" s="1" t="s">
        <v>15</v>
      </c>
      <c r="L16" s="6">
        <v>250</v>
      </c>
      <c r="M16" s="1" t="s">
        <v>18</v>
      </c>
    </row>
    <row r="17" spans="7:13" ht="28.8" x14ac:dyDescent="0.3">
      <c r="G17" s="1">
        <v>1010</v>
      </c>
      <c r="H17" s="2">
        <v>46235</v>
      </c>
      <c r="I17" s="1" t="s">
        <v>19</v>
      </c>
      <c r="J17" s="1" t="s">
        <v>20</v>
      </c>
      <c r="K17" s="1" t="s">
        <v>13</v>
      </c>
      <c r="L17" s="6">
        <v>1300</v>
      </c>
      <c r="M17" s="1" t="s">
        <v>14</v>
      </c>
    </row>
    <row r="18" spans="7:13" x14ac:dyDescent="0.3">
      <c r="G18" s="1">
        <v>1011</v>
      </c>
      <c r="H18" s="2">
        <v>46235</v>
      </c>
      <c r="I18" s="1" t="s">
        <v>7</v>
      </c>
      <c r="J18" s="1" t="s">
        <v>8</v>
      </c>
      <c r="K18" s="1" t="s">
        <v>9</v>
      </c>
      <c r="L18" s="6">
        <v>5000</v>
      </c>
      <c r="M18" s="1" t="s">
        <v>10</v>
      </c>
    </row>
    <row r="19" spans="7:13" ht="28.8" x14ac:dyDescent="0.3">
      <c r="G19" s="1">
        <v>1012</v>
      </c>
      <c r="H19" s="2">
        <v>46266</v>
      </c>
      <c r="I19" s="1" t="s">
        <v>22</v>
      </c>
      <c r="J19" s="1" t="s">
        <v>8</v>
      </c>
      <c r="K19" s="1" t="s">
        <v>21</v>
      </c>
      <c r="L19" s="6">
        <v>900</v>
      </c>
      <c r="M19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988A-7E55-4613-B685-23F1F8625B6A}">
  <dimension ref="B3:K20"/>
  <sheetViews>
    <sheetView zoomScale="84" workbookViewId="0">
      <selection activeCell="K24" sqref="K24"/>
    </sheetView>
  </sheetViews>
  <sheetFormatPr defaultRowHeight="14.4" x14ac:dyDescent="0.3"/>
  <cols>
    <col min="2" max="2" width="18.21875" customWidth="1"/>
    <col min="6" max="6" width="13.6640625" customWidth="1"/>
    <col min="7" max="7" width="16.21875" customWidth="1"/>
    <col min="8" max="8" width="15.109375" customWidth="1"/>
    <col min="9" max="9" width="13.21875" customWidth="1"/>
    <col min="10" max="10" width="16.44140625" customWidth="1"/>
    <col min="11" max="11" width="12.88671875" customWidth="1"/>
  </cols>
  <sheetData>
    <row r="3" spans="2:11" x14ac:dyDescent="0.3">
      <c r="B3" t="s">
        <v>23</v>
      </c>
    </row>
    <row r="4" spans="2:11" x14ac:dyDescent="0.3">
      <c r="E4" s="3" t="s">
        <v>0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</row>
    <row r="5" spans="2:11" x14ac:dyDescent="0.3">
      <c r="E5" s="1">
        <v>1001</v>
      </c>
      <c r="F5" s="2">
        <v>46023</v>
      </c>
      <c r="G5" s="1" t="s">
        <v>7</v>
      </c>
      <c r="H5" s="1" t="s">
        <v>8</v>
      </c>
      <c r="I5" s="1" t="s">
        <v>9</v>
      </c>
      <c r="J5" s="6">
        <v>5000</v>
      </c>
      <c r="K5" s="1" t="s">
        <v>10</v>
      </c>
    </row>
    <row r="6" spans="2:11" x14ac:dyDescent="0.3">
      <c r="E6" s="1">
        <v>1002</v>
      </c>
      <c r="F6" s="2">
        <v>46054</v>
      </c>
      <c r="G6" s="1" t="s">
        <v>11</v>
      </c>
      <c r="H6" s="1" t="s">
        <v>12</v>
      </c>
      <c r="I6" s="1" t="s">
        <v>13</v>
      </c>
      <c r="J6" s="6">
        <v>1200</v>
      </c>
      <c r="K6" s="1" t="s">
        <v>14</v>
      </c>
    </row>
    <row r="7" spans="2:11" x14ac:dyDescent="0.3">
      <c r="E7" s="1">
        <v>1003</v>
      </c>
      <c r="F7" s="2">
        <v>46054</v>
      </c>
      <c r="G7" s="1" t="s">
        <v>7</v>
      </c>
      <c r="H7" s="1" t="s">
        <v>8</v>
      </c>
      <c r="I7" s="1" t="s">
        <v>15</v>
      </c>
      <c r="J7" s="6">
        <v>200</v>
      </c>
      <c r="K7" s="1" t="s">
        <v>10</v>
      </c>
    </row>
    <row r="8" spans="2:11" x14ac:dyDescent="0.3">
      <c r="E8" s="1">
        <v>1004</v>
      </c>
      <c r="F8" s="2">
        <v>46082</v>
      </c>
      <c r="G8" s="1" t="s">
        <v>16</v>
      </c>
      <c r="H8" s="1" t="s">
        <v>17</v>
      </c>
      <c r="I8" s="1" t="s">
        <v>9</v>
      </c>
      <c r="J8" s="6">
        <v>5200</v>
      </c>
      <c r="K8" s="1" t="s">
        <v>18</v>
      </c>
    </row>
    <row r="9" spans="2:11" x14ac:dyDescent="0.3">
      <c r="E9" s="1">
        <v>1005</v>
      </c>
      <c r="F9" s="2">
        <v>46113</v>
      </c>
      <c r="G9" s="1" t="s">
        <v>19</v>
      </c>
      <c r="H9" s="1" t="s">
        <v>20</v>
      </c>
      <c r="I9" s="1" t="s">
        <v>21</v>
      </c>
      <c r="J9" s="6">
        <v>800</v>
      </c>
      <c r="K9" s="1" t="s">
        <v>14</v>
      </c>
    </row>
    <row r="10" spans="2:11" x14ac:dyDescent="0.3">
      <c r="E10" s="1">
        <v>1006</v>
      </c>
      <c r="F10" s="2">
        <v>46143</v>
      </c>
      <c r="G10" s="1" t="s">
        <v>22</v>
      </c>
      <c r="H10" s="1" t="s">
        <v>8</v>
      </c>
      <c r="I10" s="1" t="s">
        <v>13</v>
      </c>
      <c r="J10" s="6">
        <v>1500</v>
      </c>
      <c r="K10" s="1" t="s">
        <v>10</v>
      </c>
    </row>
    <row r="11" spans="2:11" x14ac:dyDescent="0.3">
      <c r="E11" s="1">
        <v>1007</v>
      </c>
      <c r="F11" s="2">
        <v>46143</v>
      </c>
      <c r="G11" s="1" t="s">
        <v>11</v>
      </c>
      <c r="H11" s="1" t="s">
        <v>12</v>
      </c>
      <c r="I11" s="1" t="s">
        <v>9</v>
      </c>
      <c r="J11" s="6">
        <v>5100</v>
      </c>
      <c r="K11" s="1" t="s">
        <v>14</v>
      </c>
    </row>
    <row r="12" spans="2:11" x14ac:dyDescent="0.3">
      <c r="E12" s="1">
        <v>1008</v>
      </c>
      <c r="F12" s="2">
        <v>46174</v>
      </c>
      <c r="G12" s="1" t="s">
        <v>7</v>
      </c>
      <c r="H12" s="1" t="s">
        <v>8</v>
      </c>
      <c r="I12" s="1" t="s">
        <v>9</v>
      </c>
      <c r="J12" s="6">
        <v>5000</v>
      </c>
      <c r="K12" s="1" t="s">
        <v>10</v>
      </c>
    </row>
    <row r="13" spans="2:11" x14ac:dyDescent="0.3">
      <c r="E13" s="1">
        <v>1009</v>
      </c>
      <c r="F13" s="2">
        <v>46204</v>
      </c>
      <c r="G13" s="1" t="s">
        <v>16</v>
      </c>
      <c r="H13" s="1" t="s">
        <v>17</v>
      </c>
      <c r="I13" s="1" t="s">
        <v>15</v>
      </c>
      <c r="J13" s="6">
        <v>250</v>
      </c>
      <c r="K13" s="1" t="s">
        <v>18</v>
      </c>
    </row>
    <row r="14" spans="2:11" x14ac:dyDescent="0.3">
      <c r="E14" s="1">
        <v>1010</v>
      </c>
      <c r="F14" s="2">
        <v>46235</v>
      </c>
      <c r="G14" s="1" t="s">
        <v>19</v>
      </c>
      <c r="H14" s="1" t="s">
        <v>20</v>
      </c>
      <c r="I14" s="1" t="s">
        <v>13</v>
      </c>
      <c r="J14" s="6">
        <v>1300</v>
      </c>
      <c r="K14" s="1" t="s">
        <v>14</v>
      </c>
    </row>
    <row r="15" spans="2:11" x14ac:dyDescent="0.3">
      <c r="E15" s="1">
        <v>1011</v>
      </c>
      <c r="F15" s="2">
        <v>46235</v>
      </c>
      <c r="G15" s="1" t="s">
        <v>7</v>
      </c>
      <c r="H15" s="1" t="s">
        <v>8</v>
      </c>
      <c r="I15" s="1" t="s">
        <v>9</v>
      </c>
      <c r="J15" s="6">
        <v>5000</v>
      </c>
      <c r="K15" s="1" t="s">
        <v>10</v>
      </c>
    </row>
    <row r="16" spans="2:11" x14ac:dyDescent="0.3">
      <c r="E16" s="1">
        <v>1012</v>
      </c>
      <c r="F16" s="2">
        <v>46266</v>
      </c>
      <c r="G16" s="1" t="s">
        <v>22</v>
      </c>
      <c r="H16" s="1" t="s">
        <v>8</v>
      </c>
      <c r="I16" s="1" t="s">
        <v>21</v>
      </c>
      <c r="J16" s="6">
        <v>900</v>
      </c>
      <c r="K16" s="1" t="s">
        <v>10</v>
      </c>
    </row>
    <row r="17" spans="5:11" x14ac:dyDescent="0.3">
      <c r="E17" s="1"/>
      <c r="F17" s="2"/>
      <c r="G17" s="1"/>
      <c r="H17" s="1"/>
      <c r="I17" s="1"/>
      <c r="J17" s="6"/>
      <c r="K17" s="1"/>
    </row>
    <row r="20" spans="5:11" x14ac:dyDescent="0.3">
      <c r="G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0C73-E294-40B8-B06E-E77A5B44935D}">
  <dimension ref="B1:I24"/>
  <sheetViews>
    <sheetView tabSelected="1" topLeftCell="A3" workbookViewId="0">
      <selection activeCell="B1" sqref="B1:O24"/>
    </sheetView>
  </sheetViews>
  <sheetFormatPr defaultRowHeight="14.4" x14ac:dyDescent="0.3"/>
  <sheetData>
    <row r="1" spans="2:9" x14ac:dyDescent="0.3">
      <c r="B1" s="24" t="s">
        <v>59</v>
      </c>
      <c r="C1" s="24"/>
      <c r="D1" s="24"/>
      <c r="E1" s="24"/>
      <c r="F1" s="24"/>
      <c r="G1" s="24"/>
      <c r="H1" s="24"/>
    </row>
    <row r="2" spans="2:9" ht="31.2" x14ac:dyDescent="0.3">
      <c r="B2" s="4" t="s">
        <v>24</v>
      </c>
      <c r="I2" t="s">
        <v>36</v>
      </c>
    </row>
    <row r="3" spans="2:9" x14ac:dyDescent="0.3">
      <c r="B3" s="5"/>
      <c r="I3" t="s">
        <v>37</v>
      </c>
    </row>
    <row r="4" spans="2:9" x14ac:dyDescent="0.3">
      <c r="B4" s="5" t="s">
        <v>25</v>
      </c>
      <c r="I4" t="s">
        <v>38</v>
      </c>
    </row>
    <row r="5" spans="2:9" x14ac:dyDescent="0.3">
      <c r="B5" s="5" t="s">
        <v>26</v>
      </c>
      <c r="I5" t="s">
        <v>39</v>
      </c>
    </row>
    <row r="6" spans="2:9" x14ac:dyDescent="0.3">
      <c r="B6" s="5" t="s">
        <v>27</v>
      </c>
      <c r="I6" t="s">
        <v>40</v>
      </c>
    </row>
    <row r="7" spans="2:9" x14ac:dyDescent="0.3">
      <c r="B7" s="5" t="s">
        <v>28</v>
      </c>
      <c r="I7" t="s">
        <v>41</v>
      </c>
    </row>
    <row r="8" spans="2:9" x14ac:dyDescent="0.3">
      <c r="B8" s="5" t="s">
        <v>29</v>
      </c>
      <c r="I8" t="s">
        <v>42</v>
      </c>
    </row>
    <row r="9" spans="2:9" x14ac:dyDescent="0.3">
      <c r="I9" t="s">
        <v>43</v>
      </c>
    </row>
    <row r="10" spans="2:9" x14ac:dyDescent="0.3">
      <c r="I10" t="s">
        <v>44</v>
      </c>
    </row>
    <row r="11" spans="2:9" ht="31.2" x14ac:dyDescent="0.3">
      <c r="B11" s="4" t="s">
        <v>30</v>
      </c>
      <c r="I11" t="s">
        <v>45</v>
      </c>
    </row>
    <row r="12" spans="2:9" x14ac:dyDescent="0.3">
      <c r="B12" s="5"/>
    </row>
    <row r="13" spans="2:9" x14ac:dyDescent="0.3">
      <c r="B13" s="5" t="s">
        <v>31</v>
      </c>
    </row>
    <row r="14" spans="2:9" ht="31.2" x14ac:dyDescent="0.3">
      <c r="B14" s="5" t="s">
        <v>32</v>
      </c>
      <c r="I14" s="4" t="s">
        <v>46</v>
      </c>
    </row>
    <row r="15" spans="2:9" x14ac:dyDescent="0.3">
      <c r="B15" s="5" t="s">
        <v>33</v>
      </c>
    </row>
    <row r="16" spans="2:9" x14ac:dyDescent="0.3">
      <c r="B16" s="5" t="s">
        <v>34</v>
      </c>
      <c r="I16" t="s">
        <v>47</v>
      </c>
    </row>
    <row r="17" spans="2:9" x14ac:dyDescent="0.3">
      <c r="B17" s="5" t="s">
        <v>35</v>
      </c>
      <c r="I17" s="5"/>
    </row>
    <row r="18" spans="2:9" x14ac:dyDescent="0.3">
      <c r="I18" s="5" t="s">
        <v>48</v>
      </c>
    </row>
    <row r="19" spans="2:9" x14ac:dyDescent="0.3">
      <c r="B19" s="5" t="s">
        <v>58</v>
      </c>
      <c r="I19" s="5" t="s">
        <v>49</v>
      </c>
    </row>
    <row r="20" spans="2:9" x14ac:dyDescent="0.3">
      <c r="B20" t="s">
        <v>53</v>
      </c>
      <c r="I20" s="5" t="s">
        <v>50</v>
      </c>
    </row>
    <row r="21" spans="2:9" x14ac:dyDescent="0.3">
      <c r="B21" t="s">
        <v>54</v>
      </c>
      <c r="I21" s="5" t="s">
        <v>51</v>
      </c>
    </row>
    <row r="22" spans="2:9" x14ac:dyDescent="0.3">
      <c r="B22" t="s">
        <v>55</v>
      </c>
      <c r="I22" s="5" t="s">
        <v>52</v>
      </c>
    </row>
    <row r="23" spans="2:9" x14ac:dyDescent="0.3">
      <c r="B23" t="s">
        <v>56</v>
      </c>
    </row>
    <row r="24" spans="2:9" x14ac:dyDescent="0.3">
      <c r="B24" t="s">
        <v>57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if-count-sumif by me</vt:lpstr>
      <vt:lpstr>pivot</vt:lpstr>
      <vt:lpstr>conditional formattings</vt:lpstr>
      <vt:lpstr>dynamic filters</vt:lpstr>
      <vt:lpstr>remove_duplicate</vt:lpstr>
      <vt:lpstr>BONUS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Najir H</dc:creator>
  <cp:lastModifiedBy>Bhanu prasad chaudhary</cp:lastModifiedBy>
  <dcterms:created xsi:type="dcterms:W3CDTF">2026-03-22T12:27:08Z</dcterms:created>
  <dcterms:modified xsi:type="dcterms:W3CDTF">2026-09-25T17:24:41Z</dcterms:modified>
</cp:coreProperties>
</file>