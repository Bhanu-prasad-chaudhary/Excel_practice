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c90e54e33389d/Documents/"/>
    </mc:Choice>
  </mc:AlternateContent>
  <xr:revisionPtr revIDLastSave="0" documentId="8_{A3A77DCD-04CB-48CC-B208-88B71783C660}" xr6:coauthVersionLast="47" xr6:coauthVersionMax="47" xr10:uidLastSave="{00000000-0000-0000-0000-000000000000}"/>
  <bookViews>
    <workbookView xWindow="-108" yWindow="-108" windowWidth="23256" windowHeight="12456" activeTab="5" xr2:uid="{714F9B8F-5A5D-4CF6-BFF8-DFD0D60439E8}"/>
  </bookViews>
  <sheets>
    <sheet name="XLOOKUP" sheetId="1" r:id="rId1"/>
    <sheet name="FILTER" sheetId="2" r:id="rId2"/>
    <sheet name="if_countif_sumif" sheetId="3" r:id="rId3"/>
    <sheet name="pivot tables" sheetId="4" r:id="rId4"/>
    <sheet name="Bouns" sheetId="5" r:id="rId5"/>
    <sheet name="formula" sheetId="6" r:id="rId6"/>
  </sheets>
  <calcPr calcId="191029"/>
  <pivotCaches>
    <pivotCache cacheId="1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" i="5" l="1"/>
  <c r="L10" i="5"/>
  <c r="L11" i="5"/>
  <c r="L12" i="5"/>
  <c r="L13" i="5"/>
  <c r="L14" i="5"/>
  <c r="L15" i="5"/>
  <c r="L16" i="5"/>
  <c r="L17" i="5"/>
  <c r="L18" i="5"/>
  <c r="L19" i="5"/>
  <c r="L8" i="5"/>
  <c r="X8" i="5"/>
  <c r="U9" i="3"/>
  <c r="T9" i="3"/>
  <c r="S9" i="3"/>
  <c r="R9" i="3"/>
  <c r="Q9" i="3"/>
  <c r="P10" i="3"/>
  <c r="P11" i="3"/>
  <c r="P12" i="3"/>
  <c r="P13" i="3"/>
  <c r="P14" i="3"/>
  <c r="P15" i="3"/>
  <c r="P16" i="3"/>
  <c r="P17" i="3"/>
  <c r="P18" i="3"/>
  <c r="P19" i="3"/>
  <c r="P20" i="3"/>
  <c r="P9" i="3"/>
  <c r="O20" i="3"/>
  <c r="O10" i="3"/>
  <c r="O11" i="3"/>
  <c r="O12" i="3"/>
  <c r="O13" i="3"/>
  <c r="O14" i="3"/>
  <c r="O15" i="3"/>
  <c r="O16" i="3"/>
  <c r="O17" i="3"/>
  <c r="O18" i="3"/>
  <c r="O19" i="3"/>
  <c r="O9" i="3"/>
  <c r="N10" i="3"/>
  <c r="N11" i="3"/>
  <c r="N12" i="3"/>
  <c r="N13" i="3"/>
  <c r="N14" i="3"/>
  <c r="N15" i="3"/>
  <c r="N16" i="3"/>
  <c r="N17" i="3"/>
  <c r="N18" i="3"/>
  <c r="N19" i="3"/>
  <c r="N20" i="3"/>
  <c r="N9" i="3"/>
  <c r="M10" i="3"/>
  <c r="M11" i="3"/>
  <c r="M12" i="3"/>
  <c r="M13" i="3"/>
  <c r="M14" i="3"/>
  <c r="M15" i="3"/>
  <c r="M16" i="3"/>
  <c r="M17" i="3"/>
  <c r="M18" i="3"/>
  <c r="M19" i="3"/>
  <c r="M20" i="3"/>
  <c r="M9" i="3"/>
  <c r="L10" i="3"/>
  <c r="L11" i="3"/>
  <c r="L12" i="3"/>
  <c r="L13" i="3"/>
  <c r="L14" i="3"/>
  <c r="L15" i="3"/>
  <c r="L16" i="3"/>
  <c r="L17" i="3"/>
  <c r="L18" i="3"/>
  <c r="L19" i="3"/>
  <c r="L20" i="3"/>
  <c r="L9" i="3"/>
  <c r="N47" i="2" a="1"/>
  <c r="N47" i="2" s="1"/>
  <c r="N41" i="2" a="1"/>
  <c r="N41" i="2" s="1"/>
  <c r="N34" i="2" a="1"/>
  <c r="N34" i="2" s="1"/>
  <c r="N25" i="2" a="1"/>
  <c r="N25" i="2" s="1"/>
  <c r="N17" i="2" a="1"/>
  <c r="N17" i="2" s="1"/>
  <c r="N9" i="2" a="1"/>
  <c r="N9" i="2" s="1"/>
  <c r="N19" i="1"/>
  <c r="N18" i="1"/>
  <c r="N16" i="1"/>
  <c r="N14" i="1"/>
  <c r="N12" i="1"/>
  <c r="N10" i="1"/>
  <c r="G13" i="6"/>
  <c r="G13" i="6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<sst xmlns="http://schemas.openxmlformats.org/spreadsheetml/2006/main" count="543" uniqueCount="124">
  <si>
    <t>Order_ID</t>
  </si>
  <si>
    <t>Order_Date</t>
  </si>
  <si>
    <t>Customer_Name</t>
  </si>
  <si>
    <t>Region</t>
  </si>
  <si>
    <t>Product</t>
  </si>
  <si>
    <t>Sales_Amount</t>
  </si>
  <si>
    <t>Sales_Rep</t>
  </si>
  <si>
    <t>Ali Khan</t>
  </si>
  <si>
    <t>East</t>
  </si>
  <si>
    <t>Laptop</t>
  </si>
  <si>
    <t>John</t>
  </si>
  <si>
    <t>Sara Ahmed</t>
  </si>
  <si>
    <t>West</t>
  </si>
  <si>
    <t>Mobile</t>
  </si>
  <si>
    <t>Emma</t>
  </si>
  <si>
    <t>Mouse</t>
  </si>
  <si>
    <t>David Lee</t>
  </si>
  <si>
    <t>North</t>
  </si>
  <si>
    <t>Alex</t>
  </si>
  <si>
    <t>Fatima Noor</t>
  </si>
  <si>
    <t>South</t>
  </si>
  <si>
    <t>Keyboard</t>
  </si>
  <si>
    <t>Omar Hassan</t>
  </si>
  <si>
    <t>1. Find the Sales_Rep for customer Sara Ahmed</t>
  </si>
  <si>
    <t>2. Get the Sales_Amount for Order_ID 1005</t>
  </si>
  <si>
    <t>3. Find the Region for David Lee</t>
  </si>
  <si>
    <t>4. Return the Product for Order_ID 1010</t>
  </si>
  <si>
    <t>5. Find the Order_Date for Omar Hassan</t>
  </si>
  <si>
    <t xml:space="preserve">directly use we get this </t>
  </si>
  <si>
    <t>equal to Text(xlookup(….),"m/d/yyyy")</t>
  </si>
  <si>
    <t>1. Show all records where Region = East</t>
  </si>
  <si>
    <t>2. Filter all Laptop sales</t>
  </si>
  <si>
    <t>3. Show data where Sales_Amount &gt; 3000</t>
  </si>
  <si>
    <t>here we use dynamic filter as sales amount &gt;3000 in the place of ="..")</t>
  </si>
  <si>
    <t>4. Get all records for Emma (Sales Rep)</t>
  </si>
  <si>
    <t>5. Filter West region + Mobile sales</t>
  </si>
  <si>
    <t xml:space="preserve">two method  to solve this </t>
  </si>
  <si>
    <t>FILTER(A2:G13,(D2:D13="West")*(E2:E13="Mobile")</t>
  </si>
  <si>
    <t>1st</t>
  </si>
  <si>
    <t>2nd</t>
  </si>
  <si>
    <t>VSTACK(A1:G1,FILTER(A2:G13,(D2:D13="West")*(E2:E13="Mobile")))</t>
  </si>
  <si>
    <t>1.Categorize sales as High (&gt;3000) or Low</t>
  </si>
  <si>
    <t>2.If Region is East, mark as Priority, else Normal</t>
  </si>
  <si>
    <t>3.If Product is Laptop, return "Premium", else "Standard"</t>
  </si>
  <si>
    <t>4.If Sales_Amount &lt; 1000 → "Low Value", else "High Value"</t>
  </si>
  <si>
    <t>5.If Sales_Rep is John → "Top Performer", else "Other"</t>
  </si>
  <si>
    <t>6.Total Sales in East region</t>
  </si>
  <si>
    <t>7.Total Laptop sales only</t>
  </si>
  <si>
    <t>8.Total Sales by Emma</t>
  </si>
  <si>
    <t>9.Total sales where Region = West AND Product = Laptop</t>
  </si>
  <si>
    <t>10.Total sales where Sales_Amount &gt; 1000</t>
  </si>
  <si>
    <t>Formula</t>
  </si>
  <si>
    <t xml:space="preserve">from 1 to 5 if condtion are use </t>
  </si>
  <si>
    <t>equal to if(j9&gt;3000,"return true value","return false value")</t>
  </si>
  <si>
    <t>from 6 to 8 sumif are used</t>
  </si>
  <si>
    <t>equal to sumif(cirteria_range means select all data of column like region,"east",sumrange)</t>
  </si>
  <si>
    <t>for no.9</t>
  </si>
  <si>
    <t>equal to sumifs(sumrange,cirteria_range1,"…cirteria1 like east",cirteria_range2,"….cirteria 2")</t>
  </si>
  <si>
    <t>for no.10</t>
  </si>
  <si>
    <t>equal to SUMIF(F2:F13,"&gt;1000",F2:F13)</t>
  </si>
  <si>
    <t>SUMIFS(F2:F13,D2:D13,"West",E2:E13,"Laptop")</t>
  </si>
  <si>
    <t>SUMIF(D2:D13,"East",F2:F13)</t>
  </si>
  <si>
    <t>IF(E2="Laptop","Premium","Standard")</t>
  </si>
  <si>
    <t>eg.</t>
  </si>
  <si>
    <t>eg.pivo</t>
  </si>
  <si>
    <t>Row Labels</t>
  </si>
  <si>
    <t>Grand Total</t>
  </si>
  <si>
    <t>Sum of Sales_Amount</t>
  </si>
  <si>
    <t xml:space="preserve"> 1.Total Sales by Region</t>
  </si>
  <si>
    <t>2.Total Sales by Product</t>
  </si>
  <si>
    <t>3.Sales by Sales_Rep</t>
  </si>
  <si>
    <t>Column Labels</t>
  </si>
  <si>
    <t>4.Region vs Product (which product sells best in each region)</t>
  </si>
  <si>
    <t>5. Count of orders per Customer_Name</t>
  </si>
  <si>
    <t>Count of Order_ID</t>
  </si>
  <si>
    <t>Remove duplicates from Product column</t>
  </si>
  <si>
    <t>Remove duplicates based on Customer + Product combination</t>
  </si>
  <si>
    <t>Count how many unique customers exist (after removing duplicates)</t>
  </si>
  <si>
    <t>Check if any duplicate Order_IDs exist</t>
  </si>
  <si>
    <t>Section</t>
  </si>
  <si>
    <t>Practice Task</t>
  </si>
  <si>
    <t>XLOOKUP</t>
  </si>
  <si>
    <t>FILTER</t>
  </si>
  <si>
    <t>4. Get all records for Emma</t>
  </si>
  <si>
    <t>IF</t>
  </si>
  <si>
    <t>1. Categorize sales as High (&gt;3000) or Low</t>
  </si>
  <si>
    <t>2. If Region is East → Priority, else Normal</t>
  </si>
  <si>
    <t>3. If Product is Laptop → Premium, else Standard</t>
  </si>
  <si>
    <t>4. If Sales_Amount &lt; 1000 → Low Value, else High Value</t>
  </si>
  <si>
    <t>5. If Sales_Rep is John → Top Performer, else Other</t>
  </si>
  <si>
    <t>SUMIF/SUMIFS</t>
  </si>
  <si>
    <t>6. Total Sales in East region</t>
  </si>
  <si>
    <t>7. Total Laptop sales only</t>
  </si>
  <si>
    <t>8. Total Sales by Emma</t>
  </si>
  <si>
    <t>9. Total sales where Region = West AND Product = Laptop</t>
  </si>
  <si>
    <t>10. Total sales where Sales_Amount &gt; 1000</t>
  </si>
  <si>
    <t>UNIQUE</t>
  </si>
  <si>
    <t>1. Remove duplicate values from Customer_Name</t>
  </si>
  <si>
    <t>2. Remove duplicates from Product column</t>
  </si>
  <si>
    <t>3. Remove duplicates based on Customer + Product</t>
  </si>
  <si>
    <t>4. Count how many unique customers exist</t>
  </si>
  <si>
    <t>COUNTIF</t>
  </si>
  <si>
    <t>5. Check if any duplicate Order_IDs exist</t>
  </si>
  <si>
    <t>XLOOKUP("Sara Ahmed",C2:C13,G2:G13)</t>
  </si>
  <si>
    <t>XLOOKUP(1005,A2:A13,F2:F13)</t>
  </si>
  <si>
    <t>XLOOKUP("David Lee",C2:C13,D2:D13)</t>
  </si>
  <si>
    <t>XLOOKUP(1010,A2:A13,E2:E13)</t>
  </si>
  <si>
    <t>XLOOKUP("Omar Hassan",C2:C13,B2:B13)</t>
  </si>
  <si>
    <t>FILTER(A2:G13,D2:D13="East")</t>
  </si>
  <si>
    <t>FILTER(A2:G13,E2:E13="Laptop")</t>
  </si>
  <si>
    <t>FILTER(A2:G13,G2:G13="Emma")</t>
  </si>
  <si>
    <t>FILTER(A2:G13,(D2:D13="West")*(E2:E13="Mobile"))</t>
  </si>
  <si>
    <t>UNIQUE(E2:E13)</t>
  </si>
  <si>
    <r>
      <t>UNIQUE(C2:E13)</t>
    </r>
    <r>
      <rPr>
        <sz val="11"/>
        <color theme="1"/>
        <rFont val="Aptos Narrow"/>
        <family val="2"/>
        <scheme val="minor"/>
      </rPr>
      <t>*</t>
    </r>
  </si>
  <si>
    <t>IF(F2&gt;3000,"High","Low")</t>
  </si>
  <si>
    <t>IF(D2="East","Priority","Normal")</t>
  </si>
  <si>
    <t>IF(F2&lt;1000,"Low Value","High Value")</t>
  </si>
  <si>
    <t>IF(G2="John","Top Performer","Other")</t>
  </si>
  <si>
    <t>SUMIF(E2:E13,"Laptop",F2:F13)</t>
  </si>
  <si>
    <t>SUMIF(G2:G13,"Emma",F2:F13)</t>
  </si>
  <si>
    <t>SUMIF(F2:F13,"&gt;1000",F2:F13)</t>
  </si>
  <si>
    <t>UNIQUE(C2:C13)</t>
  </si>
  <si>
    <t>COUNTA(UNIQUE(C2:C13))</t>
  </si>
  <si>
    <t>IF(COUNTA(A2:A13)=COUNTA(UNIQUE(A2:A13)),"No Duplicates","Duplicates Exist")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</si>
</sst>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164" fontId="0" fillId="4" borderId="0" xfId="1" applyNumberFormat="1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64" fontId="0" fillId="0" borderId="0" xfId="1" applyNumberFormat="1" applyFont="1" applyFill="1" applyAlignment="1">
      <alignment vertical="center" wrapText="1"/>
    </xf>
    <xf numFmtId="0" fontId="0" fillId="7" borderId="0" xfId="0" applyFill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vertical="center" wrapText="1"/>
    </xf>
    <xf numFmtId="0" fontId="2" fillId="1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AN COMPUTER ZONE" refreshedDate="46291.023856481479" createdVersion="8" refreshedVersion="8" minRefreshableVersion="3" recordCount="12" xr:uid="{688956D8-6474-4F04-926B-D46C7CBF0EC9}">
  <cacheSource type="worksheet">
    <worksheetSource ref="E7:K19" sheet="pivot tables"/>
  </cacheSource>
  <cacheFields count="7">
    <cacheField name="Order_ID" numFmtId="0">
      <sharedItems containsSemiMixedTypes="0" containsString="0" containsNumber="1" containsInteger="1" minValue="1001" maxValue="1012"/>
    </cacheField>
    <cacheField name="Order_Date" numFmtId="14">
      <sharedItems containsSemiMixedTypes="0" containsNonDate="0" containsDate="1" containsString="0" minDate="2026-01-01T00:00:00" maxDate="2026-09-02T00:00:00"/>
    </cacheField>
    <cacheField name="Customer_Name" numFmtId="0">
      <sharedItems count="5">
        <s v="Ali Khan"/>
        <s v="Sara Ahmed"/>
        <s v="David Lee"/>
        <s v="Fatima Noor"/>
        <s v="Omar Hassan"/>
      </sharedItems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4">
        <s v="Laptop"/>
        <s v="Mobile"/>
        <s v="Mouse"/>
        <s v="Keyboard"/>
      </sharedItems>
    </cacheField>
    <cacheField name="Sales_Amount" numFmtId="164">
      <sharedItems containsSemiMixedTypes="0" containsString="0" containsNumber="1" containsInteger="1" minValue="200" maxValue="5200"/>
    </cacheField>
    <cacheField name="Sales_Rep" numFmtId="0">
      <sharedItems count="3">
        <s v="John"/>
        <s v="Emma"/>
        <s v="Al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001"/>
    <d v="2026-01-01T00:00:00"/>
    <x v="0"/>
    <x v="0"/>
    <x v="0"/>
    <n v="5000"/>
    <x v="0"/>
  </r>
  <r>
    <n v="1002"/>
    <d v="2026-02-01T00:00:00"/>
    <x v="1"/>
    <x v="1"/>
    <x v="1"/>
    <n v="1200"/>
    <x v="1"/>
  </r>
  <r>
    <n v="1003"/>
    <d v="2026-02-01T00:00:00"/>
    <x v="0"/>
    <x v="0"/>
    <x v="2"/>
    <n v="200"/>
    <x v="0"/>
  </r>
  <r>
    <n v="1004"/>
    <d v="2026-03-01T00:00:00"/>
    <x v="2"/>
    <x v="2"/>
    <x v="0"/>
    <n v="5200"/>
    <x v="2"/>
  </r>
  <r>
    <n v="1005"/>
    <d v="2026-04-01T00:00:00"/>
    <x v="3"/>
    <x v="3"/>
    <x v="3"/>
    <n v="800"/>
    <x v="1"/>
  </r>
  <r>
    <n v="1006"/>
    <d v="2026-05-01T00:00:00"/>
    <x v="4"/>
    <x v="0"/>
    <x v="1"/>
    <n v="1500"/>
    <x v="0"/>
  </r>
  <r>
    <n v="1007"/>
    <d v="2026-05-01T00:00:00"/>
    <x v="1"/>
    <x v="1"/>
    <x v="0"/>
    <n v="5100"/>
    <x v="1"/>
  </r>
  <r>
    <n v="1008"/>
    <d v="2026-06-01T00:00:00"/>
    <x v="0"/>
    <x v="0"/>
    <x v="0"/>
    <n v="5000"/>
    <x v="0"/>
  </r>
  <r>
    <n v="1009"/>
    <d v="2026-07-01T00:00:00"/>
    <x v="2"/>
    <x v="2"/>
    <x v="2"/>
    <n v="250"/>
    <x v="2"/>
  </r>
  <r>
    <n v="1010"/>
    <d v="2026-08-01T00:00:00"/>
    <x v="3"/>
    <x v="3"/>
    <x v="1"/>
    <n v="1300"/>
    <x v="1"/>
  </r>
  <r>
    <n v="1011"/>
    <d v="2026-08-01T00:00:00"/>
    <x v="0"/>
    <x v="0"/>
    <x v="0"/>
    <n v="5000"/>
    <x v="0"/>
  </r>
  <r>
    <n v="1012"/>
    <d v="2026-09-01T00:00:00"/>
    <x v="4"/>
    <x v="0"/>
    <x v="3"/>
    <n v="9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9B504-3FE4-4205-9C07-4EABE1C2F55C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1:P47" firstHeaderRow="1" firstDataRow="1" firstDataCol="1"/>
  <pivotFields count="7">
    <pivotField dataField="1" showAll="0"/>
    <pivotField numFmtId="14"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5DF2F-97A5-4486-A61D-BB632AA3CA7B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2:T38" firstHeaderRow="1" firstDataRow="2" firstDataCol="1"/>
  <pivotFields count="7">
    <pivotField showAll="0"/>
    <pivotField numFmtId="1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DC354-03F1-41DA-972E-958868AD170D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4:P28" firstHeaderRow="1" firstDataRow="1" firstDataCol="1"/>
  <pivotFields count="7">
    <pivotField showAll="0"/>
    <pivotField numFmtId="14" showAll="0"/>
    <pivotField showAll="0"/>
    <pivotField showAll="0"/>
    <pivotField showAll="0"/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1D710-4789-4EEA-BFB3-A09A59B6282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6:P21" firstHeaderRow="1" firstDataRow="1" firstDataCol="1"/>
  <pivotFields count="7">
    <pivotField showAll="0"/>
    <pivotField numFmtId="14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2C19D-67F8-4230-95A3-1309B29B7F56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8:P13" firstHeaderRow="1" firstDataRow="1" firstDataCol="1"/>
  <pivotFields count="7">
    <pivotField showAll="0"/>
    <pivotField numFmtId="14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16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9AC0-8D62-4B9A-BB6F-924747D5080B}">
  <dimension ref="D6:O19"/>
  <sheetViews>
    <sheetView topLeftCell="A3" workbookViewId="0">
      <selection activeCell="D6" sqref="D6:J18"/>
    </sheetView>
  </sheetViews>
  <sheetFormatPr defaultRowHeight="14.4" x14ac:dyDescent="0.3"/>
  <cols>
    <col min="5" max="5" width="11" customWidth="1"/>
    <col min="6" max="6" width="16.5546875" customWidth="1"/>
    <col min="9" max="9" width="17.33203125" customWidth="1"/>
    <col min="10" max="10" width="13.109375" customWidth="1"/>
  </cols>
  <sheetData>
    <row r="6" spans="4:14" ht="28.8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</row>
    <row r="7" spans="4:14" x14ac:dyDescent="0.3">
      <c r="D7" s="2">
        <v>1001</v>
      </c>
      <c r="E7" s="3">
        <v>46023</v>
      </c>
      <c r="F7" s="2" t="s">
        <v>7</v>
      </c>
      <c r="G7" s="2" t="s">
        <v>8</v>
      </c>
      <c r="H7" s="2" t="s">
        <v>9</v>
      </c>
      <c r="I7" s="4">
        <v>5000</v>
      </c>
      <c r="J7" s="2" t="s">
        <v>10</v>
      </c>
    </row>
    <row r="8" spans="4:14" ht="28.8" x14ac:dyDescent="0.3">
      <c r="D8" s="2">
        <v>1002</v>
      </c>
      <c r="E8" s="3">
        <v>46054</v>
      </c>
      <c r="F8" s="5" t="s">
        <v>11</v>
      </c>
      <c r="G8" s="2" t="s">
        <v>12</v>
      </c>
      <c r="H8" s="2" t="s">
        <v>13</v>
      </c>
      <c r="I8" s="4">
        <v>1200</v>
      </c>
      <c r="J8" s="5" t="s">
        <v>14</v>
      </c>
      <c r="N8" t="s">
        <v>23</v>
      </c>
    </row>
    <row r="9" spans="4:14" x14ac:dyDescent="0.3">
      <c r="D9" s="2">
        <v>1003</v>
      </c>
      <c r="E9" s="3">
        <v>46054</v>
      </c>
      <c r="F9" s="2" t="s">
        <v>7</v>
      </c>
      <c r="G9" s="2" t="s">
        <v>8</v>
      </c>
      <c r="H9" s="2" t="s">
        <v>15</v>
      </c>
      <c r="I9" s="4">
        <v>200</v>
      </c>
      <c r="J9" s="2" t="s">
        <v>10</v>
      </c>
    </row>
    <row r="10" spans="4:14" x14ac:dyDescent="0.3">
      <c r="D10" s="2">
        <v>1004</v>
      </c>
      <c r="E10" s="3">
        <v>46082</v>
      </c>
      <c r="F10" s="8" t="s">
        <v>16</v>
      </c>
      <c r="G10" s="8" t="s">
        <v>17</v>
      </c>
      <c r="H10" s="2" t="s">
        <v>9</v>
      </c>
      <c r="I10" s="4">
        <v>5200</v>
      </c>
      <c r="J10" s="2" t="s">
        <v>18</v>
      </c>
      <c r="N10" t="str">
        <f>_xlfn.XLOOKUP(F8,F7:F18,J7:J18,"Not Found")</f>
        <v>Emma</v>
      </c>
    </row>
    <row r="11" spans="4:14" ht="28.8" x14ac:dyDescent="0.3">
      <c r="D11" s="6">
        <v>1005</v>
      </c>
      <c r="E11" s="3">
        <v>46113</v>
      </c>
      <c r="F11" s="2" t="s">
        <v>19</v>
      </c>
      <c r="G11" s="2" t="s">
        <v>20</v>
      </c>
      <c r="H11" s="2" t="s">
        <v>21</v>
      </c>
      <c r="I11" s="7">
        <v>800</v>
      </c>
      <c r="J11" s="2" t="s">
        <v>14</v>
      </c>
      <c r="N11" t="s">
        <v>24</v>
      </c>
    </row>
    <row r="12" spans="4:14" ht="28.8" x14ac:dyDescent="0.3">
      <c r="D12" s="2">
        <v>1006</v>
      </c>
      <c r="E12" s="3">
        <v>46143</v>
      </c>
      <c r="F12" s="2" t="s">
        <v>22</v>
      </c>
      <c r="G12" s="2" t="s">
        <v>8</v>
      </c>
      <c r="H12" s="2" t="s">
        <v>13</v>
      </c>
      <c r="I12" s="4">
        <v>1500</v>
      </c>
      <c r="J12" s="2" t="s">
        <v>10</v>
      </c>
      <c r="N12">
        <f>_xlfn.XLOOKUP(D11,D7:D18,I7:I18)</f>
        <v>800</v>
      </c>
    </row>
    <row r="13" spans="4:14" ht="28.8" x14ac:dyDescent="0.3">
      <c r="D13" s="2">
        <v>1007</v>
      </c>
      <c r="E13" s="3">
        <v>46143</v>
      </c>
      <c r="F13" s="5" t="s">
        <v>11</v>
      </c>
      <c r="G13" s="2" t="s">
        <v>12</v>
      </c>
      <c r="H13" s="2" t="s">
        <v>9</v>
      </c>
      <c r="I13" s="4">
        <v>5100</v>
      </c>
      <c r="J13" s="5" t="s">
        <v>14</v>
      </c>
      <c r="N13" t="s">
        <v>25</v>
      </c>
    </row>
    <row r="14" spans="4:14" x14ac:dyDescent="0.3">
      <c r="D14" s="2">
        <v>1008</v>
      </c>
      <c r="E14" s="3">
        <v>46174</v>
      </c>
      <c r="F14" s="2" t="s">
        <v>7</v>
      </c>
      <c r="G14" s="2" t="s">
        <v>8</v>
      </c>
      <c r="H14" s="2" t="s">
        <v>9</v>
      </c>
      <c r="I14" s="4">
        <v>5000</v>
      </c>
      <c r="J14" s="2" t="s">
        <v>10</v>
      </c>
      <c r="N14" t="str">
        <f>_xlfn.XLOOKUP(F10,F7:F18,G7:G18)</f>
        <v>North</v>
      </c>
    </row>
    <row r="15" spans="4:14" x14ac:dyDescent="0.3">
      <c r="D15" s="2">
        <v>1009</v>
      </c>
      <c r="E15" s="3">
        <v>46204</v>
      </c>
      <c r="F15" s="8" t="s">
        <v>16</v>
      </c>
      <c r="G15" s="8" t="s">
        <v>17</v>
      </c>
      <c r="H15" s="2" t="s">
        <v>15</v>
      </c>
      <c r="I15" s="4">
        <v>250</v>
      </c>
      <c r="J15" s="2" t="s">
        <v>18</v>
      </c>
      <c r="N15" t="s">
        <v>26</v>
      </c>
    </row>
    <row r="16" spans="4:14" ht="28.8" x14ac:dyDescent="0.3">
      <c r="D16" s="9">
        <v>1010</v>
      </c>
      <c r="E16" s="3">
        <v>46235</v>
      </c>
      <c r="F16" s="2" t="s">
        <v>19</v>
      </c>
      <c r="G16" s="2" t="s">
        <v>20</v>
      </c>
      <c r="H16" s="9" t="s">
        <v>13</v>
      </c>
      <c r="I16" s="4">
        <v>1300</v>
      </c>
      <c r="J16" s="2" t="s">
        <v>14</v>
      </c>
      <c r="N16" t="str">
        <f>_xlfn.XLOOKUP(D16,D7:D18,H7:H18)</f>
        <v>Mobile</v>
      </c>
    </row>
    <row r="17" spans="4:15" x14ac:dyDescent="0.3">
      <c r="D17" s="2">
        <v>1011</v>
      </c>
      <c r="E17" s="3">
        <v>46235</v>
      </c>
      <c r="F17" s="2" t="s">
        <v>7</v>
      </c>
      <c r="G17" s="2" t="s">
        <v>8</v>
      </c>
      <c r="H17" s="2" t="s">
        <v>9</v>
      </c>
      <c r="I17" s="4">
        <v>5000</v>
      </c>
      <c r="J17" s="2" t="s">
        <v>10</v>
      </c>
      <c r="N17" t="s">
        <v>27</v>
      </c>
    </row>
    <row r="18" spans="4:15" x14ac:dyDescent="0.3">
      <c r="D18" s="2">
        <v>1012</v>
      </c>
      <c r="E18" s="3">
        <v>46266</v>
      </c>
      <c r="F18" s="2" t="s">
        <v>22</v>
      </c>
      <c r="G18" s="2" t="s">
        <v>8</v>
      </c>
      <c r="H18" s="2" t="s">
        <v>21</v>
      </c>
      <c r="I18" s="4">
        <v>900</v>
      </c>
      <c r="J18" s="2" t="s">
        <v>10</v>
      </c>
      <c r="N18">
        <f>_xlfn.XLOOKUP("Omar Hassan",F7:F18,E7:E18)</f>
        <v>46143</v>
      </c>
      <c r="O18" t="s">
        <v>28</v>
      </c>
    </row>
    <row r="19" spans="4:15" x14ac:dyDescent="0.3">
      <c r="N19" t="str">
        <f>TEXT(_xlfn.XLOOKUP(F18,F7:F18,E7:E18),"m/d/yyyy")</f>
        <v>5/1/2026</v>
      </c>
      <c r="O19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7D95-4946-4AC5-B98E-4110D7E5D9BD}">
  <dimension ref="E6:X48"/>
  <sheetViews>
    <sheetView workbookViewId="0">
      <selection activeCell="E6" sqref="E6:K18"/>
    </sheetView>
  </sheetViews>
  <sheetFormatPr defaultRowHeight="14.4" x14ac:dyDescent="0.3"/>
  <sheetData>
    <row r="6" spans="5:20" ht="28.8" x14ac:dyDescent="0.3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</row>
    <row r="7" spans="5:20" x14ac:dyDescent="0.3">
      <c r="E7" s="10">
        <v>1001</v>
      </c>
      <c r="F7" s="11">
        <v>46023</v>
      </c>
      <c r="G7" s="10" t="s">
        <v>7</v>
      </c>
      <c r="H7" s="10" t="s">
        <v>8</v>
      </c>
      <c r="I7" s="10" t="s">
        <v>9</v>
      </c>
      <c r="J7" s="12">
        <v>5000</v>
      </c>
      <c r="K7" s="10" t="s">
        <v>10</v>
      </c>
    </row>
    <row r="8" spans="5:20" ht="28.8" x14ac:dyDescent="0.3">
      <c r="E8" s="10">
        <v>1002</v>
      </c>
      <c r="F8" s="11">
        <v>46054</v>
      </c>
      <c r="G8" s="10" t="s">
        <v>11</v>
      </c>
      <c r="H8" s="10" t="s">
        <v>12</v>
      </c>
      <c r="I8" s="10" t="s">
        <v>13</v>
      </c>
      <c r="J8" s="12">
        <v>1200</v>
      </c>
      <c r="K8" s="10" t="s">
        <v>14</v>
      </c>
      <c r="N8" t="s">
        <v>30</v>
      </c>
    </row>
    <row r="9" spans="5:20" x14ac:dyDescent="0.3">
      <c r="E9" s="10">
        <v>1003</v>
      </c>
      <c r="F9" s="11">
        <v>46054</v>
      </c>
      <c r="G9" s="10" t="s">
        <v>7</v>
      </c>
      <c r="H9" s="10" t="s">
        <v>8</v>
      </c>
      <c r="I9" s="10" t="s">
        <v>15</v>
      </c>
      <c r="J9" s="12">
        <v>200</v>
      </c>
      <c r="K9" s="10" t="s">
        <v>10</v>
      </c>
      <c r="N9" cm="1">
        <f t="array" ref="N9:T14">_xlfn._xlws.FILTER(E6:K18,H6:H18="East")</f>
        <v>1001</v>
      </c>
      <c r="O9">
        <v>46023</v>
      </c>
      <c r="P9" t="str">
        <v>Ali Khan</v>
      </c>
      <c r="Q9" t="str">
        <v>East</v>
      </c>
      <c r="R9" t="str">
        <v>Laptop</v>
      </c>
      <c r="S9">
        <v>5000</v>
      </c>
      <c r="T9" t="str">
        <v>John</v>
      </c>
    </row>
    <row r="10" spans="5:20" x14ac:dyDescent="0.3">
      <c r="E10" s="10">
        <v>1004</v>
      </c>
      <c r="F10" s="11">
        <v>46082</v>
      </c>
      <c r="G10" s="10" t="s">
        <v>16</v>
      </c>
      <c r="H10" s="10" t="s">
        <v>17</v>
      </c>
      <c r="I10" s="10" t="s">
        <v>9</v>
      </c>
      <c r="J10" s="12">
        <v>5200</v>
      </c>
      <c r="K10" s="10" t="s">
        <v>18</v>
      </c>
      <c r="N10">
        <v>1003</v>
      </c>
      <c r="O10">
        <v>46054</v>
      </c>
      <c r="P10" t="str">
        <v>Ali Khan</v>
      </c>
      <c r="Q10" t="str">
        <v>East</v>
      </c>
      <c r="R10" t="str">
        <v>Mouse</v>
      </c>
      <c r="S10">
        <v>200</v>
      </c>
      <c r="T10" t="str">
        <v>John</v>
      </c>
    </row>
    <row r="11" spans="5:20" ht="28.8" x14ac:dyDescent="0.3">
      <c r="E11" s="10">
        <v>1005</v>
      </c>
      <c r="F11" s="11">
        <v>46113</v>
      </c>
      <c r="G11" s="10" t="s">
        <v>19</v>
      </c>
      <c r="H11" s="10" t="s">
        <v>20</v>
      </c>
      <c r="I11" s="10" t="s">
        <v>21</v>
      </c>
      <c r="J11" s="12">
        <v>800</v>
      </c>
      <c r="K11" s="10" t="s">
        <v>14</v>
      </c>
      <c r="N11">
        <v>1006</v>
      </c>
      <c r="O11">
        <v>46143</v>
      </c>
      <c r="P11" t="str">
        <v>Omar Hassan</v>
      </c>
      <c r="Q11" t="str">
        <v>East</v>
      </c>
      <c r="R11" t="str">
        <v>Mobile</v>
      </c>
      <c r="S11">
        <v>1500</v>
      </c>
      <c r="T11" t="str">
        <v>John</v>
      </c>
    </row>
    <row r="12" spans="5:20" ht="28.8" x14ac:dyDescent="0.3">
      <c r="E12" s="10">
        <v>1006</v>
      </c>
      <c r="F12" s="11">
        <v>46143</v>
      </c>
      <c r="G12" s="10" t="s">
        <v>22</v>
      </c>
      <c r="H12" s="10" t="s">
        <v>8</v>
      </c>
      <c r="I12" s="10" t="s">
        <v>13</v>
      </c>
      <c r="J12" s="12">
        <v>1500</v>
      </c>
      <c r="K12" s="10" t="s">
        <v>10</v>
      </c>
      <c r="N12">
        <v>1008</v>
      </c>
      <c r="O12">
        <v>46174</v>
      </c>
      <c r="P12" t="str">
        <v>Ali Khan</v>
      </c>
      <c r="Q12" t="str">
        <v>East</v>
      </c>
      <c r="R12" t="str">
        <v>Laptop</v>
      </c>
      <c r="S12">
        <v>5000</v>
      </c>
      <c r="T12" t="str">
        <v>John</v>
      </c>
    </row>
    <row r="13" spans="5:20" ht="28.8" x14ac:dyDescent="0.3">
      <c r="E13" s="10">
        <v>1007</v>
      </c>
      <c r="F13" s="11">
        <v>46143</v>
      </c>
      <c r="G13" s="10" t="s">
        <v>11</v>
      </c>
      <c r="H13" s="10" t="s">
        <v>12</v>
      </c>
      <c r="I13" s="10" t="s">
        <v>9</v>
      </c>
      <c r="J13" s="12">
        <v>5100</v>
      </c>
      <c r="K13" s="10" t="s">
        <v>14</v>
      </c>
      <c r="N13">
        <v>1011</v>
      </c>
      <c r="O13">
        <v>46235</v>
      </c>
      <c r="P13" t="str">
        <v>Ali Khan</v>
      </c>
      <c r="Q13" t="str">
        <v>East</v>
      </c>
      <c r="R13" t="str">
        <v>Laptop</v>
      </c>
      <c r="S13">
        <v>5000</v>
      </c>
      <c r="T13" t="str">
        <v>John</v>
      </c>
    </row>
    <row r="14" spans="5:20" x14ac:dyDescent="0.3">
      <c r="E14" s="10">
        <v>1008</v>
      </c>
      <c r="F14" s="11">
        <v>46174</v>
      </c>
      <c r="G14" s="10" t="s">
        <v>7</v>
      </c>
      <c r="H14" s="10" t="s">
        <v>8</v>
      </c>
      <c r="I14" s="10" t="s">
        <v>9</v>
      </c>
      <c r="J14" s="12">
        <v>5000</v>
      </c>
      <c r="K14" s="10" t="s">
        <v>10</v>
      </c>
      <c r="N14">
        <v>1012</v>
      </c>
      <c r="O14">
        <v>46266</v>
      </c>
      <c r="P14" t="str">
        <v>Omar Hassan</v>
      </c>
      <c r="Q14" t="str">
        <v>East</v>
      </c>
      <c r="R14" t="str">
        <v>Keyboard</v>
      </c>
      <c r="S14">
        <v>900</v>
      </c>
      <c r="T14" t="str">
        <v>John</v>
      </c>
    </row>
    <row r="15" spans="5:20" x14ac:dyDescent="0.3">
      <c r="E15" s="10">
        <v>1009</v>
      </c>
      <c r="F15" s="11">
        <v>46204</v>
      </c>
      <c r="G15" s="10" t="s">
        <v>16</v>
      </c>
      <c r="H15" s="10" t="s">
        <v>17</v>
      </c>
      <c r="I15" s="10" t="s">
        <v>15</v>
      </c>
      <c r="J15" s="12">
        <v>250</v>
      </c>
      <c r="K15" s="10" t="s">
        <v>18</v>
      </c>
    </row>
    <row r="16" spans="5:20" ht="28.8" x14ac:dyDescent="0.3">
      <c r="E16" s="10">
        <v>1010</v>
      </c>
      <c r="F16" s="11">
        <v>46235</v>
      </c>
      <c r="G16" s="10" t="s">
        <v>19</v>
      </c>
      <c r="H16" s="10" t="s">
        <v>20</v>
      </c>
      <c r="I16" s="10" t="s">
        <v>13</v>
      </c>
      <c r="J16" s="12">
        <v>1300</v>
      </c>
      <c r="K16" s="10" t="s">
        <v>14</v>
      </c>
      <c r="N16" t="s">
        <v>31</v>
      </c>
    </row>
    <row r="17" spans="5:24" x14ac:dyDescent="0.3">
      <c r="E17" s="10">
        <v>1011</v>
      </c>
      <c r="F17" s="11">
        <v>46235</v>
      </c>
      <c r="G17" s="10" t="s">
        <v>7</v>
      </c>
      <c r="H17" s="10" t="s">
        <v>8</v>
      </c>
      <c r="I17" s="10" t="s">
        <v>9</v>
      </c>
      <c r="J17" s="12">
        <v>5000</v>
      </c>
      <c r="K17" s="10" t="s">
        <v>10</v>
      </c>
      <c r="N17" cm="1">
        <f t="array" ref="N17:T21">_xlfn._xlws.FILTER(E6:K18,I6:I18="Laptop")</f>
        <v>1001</v>
      </c>
      <c r="O17">
        <v>46023</v>
      </c>
      <c r="P17" t="str">
        <v>Ali Khan</v>
      </c>
      <c r="Q17" t="str">
        <v>East</v>
      </c>
      <c r="R17" t="str">
        <v>Laptop</v>
      </c>
      <c r="S17">
        <v>5000</v>
      </c>
      <c r="T17" t="str">
        <v>John</v>
      </c>
    </row>
    <row r="18" spans="5:24" ht="28.8" x14ac:dyDescent="0.3">
      <c r="E18" s="10">
        <v>1012</v>
      </c>
      <c r="F18" s="11">
        <v>46266</v>
      </c>
      <c r="G18" s="10" t="s">
        <v>22</v>
      </c>
      <c r="H18" s="10" t="s">
        <v>8</v>
      </c>
      <c r="I18" s="10" t="s">
        <v>21</v>
      </c>
      <c r="J18" s="12">
        <v>900</v>
      </c>
      <c r="K18" s="10" t="s">
        <v>10</v>
      </c>
      <c r="N18">
        <v>1004</v>
      </c>
      <c r="O18">
        <v>46082</v>
      </c>
      <c r="P18" t="str">
        <v>David Lee</v>
      </c>
      <c r="Q18" t="str">
        <v>North</v>
      </c>
      <c r="R18" t="str">
        <v>Laptop</v>
      </c>
      <c r="S18">
        <v>5200</v>
      </c>
      <c r="T18" t="str">
        <v>Alex</v>
      </c>
    </row>
    <row r="19" spans="5:24" x14ac:dyDescent="0.3">
      <c r="N19">
        <v>1007</v>
      </c>
      <c r="O19">
        <v>46143</v>
      </c>
      <c r="P19" t="str">
        <v>Sara Ahmed</v>
      </c>
      <c r="Q19" t="str">
        <v>West</v>
      </c>
      <c r="R19" t="str">
        <v>Laptop</v>
      </c>
      <c r="S19">
        <v>5100</v>
      </c>
      <c r="T19" t="str">
        <v>Emma</v>
      </c>
    </row>
    <row r="20" spans="5:24" x14ac:dyDescent="0.3">
      <c r="N20">
        <v>1008</v>
      </c>
      <c r="O20">
        <v>46174</v>
      </c>
      <c r="P20" t="str">
        <v>Ali Khan</v>
      </c>
      <c r="Q20" t="str">
        <v>East</v>
      </c>
      <c r="R20" t="str">
        <v>Laptop</v>
      </c>
      <c r="S20">
        <v>5000</v>
      </c>
      <c r="T20" t="str">
        <v>John</v>
      </c>
    </row>
    <row r="21" spans="5:24" x14ac:dyDescent="0.3">
      <c r="N21">
        <v>1011</v>
      </c>
      <c r="O21">
        <v>46235</v>
      </c>
      <c r="P21" t="str">
        <v>Ali Khan</v>
      </c>
      <c r="Q21" t="str">
        <v>East</v>
      </c>
      <c r="R21" t="str">
        <v>Laptop</v>
      </c>
      <c r="S21">
        <v>5000</v>
      </c>
      <c r="T21" t="str">
        <v>John</v>
      </c>
    </row>
    <row r="24" spans="5:24" x14ac:dyDescent="0.3">
      <c r="N24" t="s">
        <v>32</v>
      </c>
      <c r="R24" s="13" t="s">
        <v>33</v>
      </c>
      <c r="S24" s="13"/>
      <c r="T24" s="13"/>
      <c r="U24" s="13"/>
      <c r="V24" s="13"/>
      <c r="W24" s="13"/>
      <c r="X24" s="13"/>
    </row>
    <row r="25" spans="5:24" x14ac:dyDescent="0.3">
      <c r="N25" t="str" cm="1">
        <f t="array" ref="N25:T30">_xlfn._xlws.FILTER(E6:K18,J6:J18&gt;3000)</f>
        <v>Order_ID</v>
      </c>
      <c r="O25" t="str">
        <v>Order_Date</v>
      </c>
      <c r="P25" t="str">
        <v>Customer_Name</v>
      </c>
      <c r="Q25" t="str">
        <v>Region</v>
      </c>
      <c r="R25" t="str">
        <v>Product</v>
      </c>
      <c r="S25" t="str">
        <v>Sales_Amount</v>
      </c>
      <c r="T25" t="str">
        <v>Sales_Rep</v>
      </c>
    </row>
    <row r="26" spans="5:24" x14ac:dyDescent="0.3">
      <c r="N26">
        <v>1001</v>
      </c>
      <c r="O26">
        <v>46023</v>
      </c>
      <c r="P26" t="str">
        <v>Ali Khan</v>
      </c>
      <c r="Q26" t="str">
        <v>East</v>
      </c>
      <c r="R26" t="str">
        <v>Laptop</v>
      </c>
      <c r="S26">
        <v>5000</v>
      </c>
      <c r="T26" t="str">
        <v>John</v>
      </c>
    </row>
    <row r="27" spans="5:24" x14ac:dyDescent="0.3">
      <c r="N27">
        <v>1004</v>
      </c>
      <c r="O27">
        <v>46082</v>
      </c>
      <c r="P27" t="str">
        <v>David Lee</v>
      </c>
      <c r="Q27" t="str">
        <v>North</v>
      </c>
      <c r="R27" t="str">
        <v>Laptop</v>
      </c>
      <c r="S27">
        <v>5200</v>
      </c>
      <c r="T27" t="str">
        <v>Alex</v>
      </c>
    </row>
    <row r="28" spans="5:24" x14ac:dyDescent="0.3">
      <c r="N28">
        <v>1007</v>
      </c>
      <c r="O28">
        <v>46143</v>
      </c>
      <c r="P28" t="str">
        <v>Sara Ahmed</v>
      </c>
      <c r="Q28" t="str">
        <v>West</v>
      </c>
      <c r="R28" t="str">
        <v>Laptop</v>
      </c>
      <c r="S28">
        <v>5100</v>
      </c>
      <c r="T28" t="str">
        <v>Emma</v>
      </c>
    </row>
    <row r="29" spans="5:24" x14ac:dyDescent="0.3">
      <c r="N29">
        <v>1008</v>
      </c>
      <c r="O29">
        <v>46174</v>
      </c>
      <c r="P29" t="str">
        <v>Ali Khan</v>
      </c>
      <c r="Q29" t="str">
        <v>East</v>
      </c>
      <c r="R29" t="str">
        <v>Laptop</v>
      </c>
      <c r="S29">
        <v>5000</v>
      </c>
      <c r="T29" t="str">
        <v>John</v>
      </c>
    </row>
    <row r="30" spans="5:24" x14ac:dyDescent="0.3">
      <c r="N30">
        <v>1011</v>
      </c>
      <c r="O30">
        <v>46235</v>
      </c>
      <c r="P30" t="str">
        <v>Ali Khan</v>
      </c>
      <c r="Q30" t="str">
        <v>East</v>
      </c>
      <c r="R30" t="str">
        <v>Laptop</v>
      </c>
      <c r="S30">
        <v>5000</v>
      </c>
      <c r="T30" t="str">
        <v>John</v>
      </c>
    </row>
    <row r="33" spans="14:20" x14ac:dyDescent="0.3">
      <c r="N33" t="s">
        <v>34</v>
      </c>
    </row>
    <row r="34" spans="14:20" x14ac:dyDescent="0.3">
      <c r="N34" cm="1">
        <f t="array" ref="N34:T37">_xlfn._xlws.FILTER(E6:K18,K6:K18="Emma")</f>
        <v>1002</v>
      </c>
      <c r="O34">
        <v>46054</v>
      </c>
      <c r="P34" t="str">
        <v>Sara Ahmed</v>
      </c>
      <c r="Q34" t="str">
        <v>West</v>
      </c>
      <c r="R34" t="str">
        <v>Mobile</v>
      </c>
      <c r="S34">
        <v>1200</v>
      </c>
      <c r="T34" t="str">
        <v>Emma</v>
      </c>
    </row>
    <row r="35" spans="14:20" x14ac:dyDescent="0.3">
      <c r="N35">
        <v>1005</v>
      </c>
      <c r="O35">
        <v>46113</v>
      </c>
      <c r="P35" t="str">
        <v>Fatima Noor</v>
      </c>
      <c r="Q35" t="str">
        <v>South</v>
      </c>
      <c r="R35" t="str">
        <v>Keyboard</v>
      </c>
      <c r="S35">
        <v>800</v>
      </c>
      <c r="T35" t="str">
        <v>Emma</v>
      </c>
    </row>
    <row r="36" spans="14:20" x14ac:dyDescent="0.3">
      <c r="N36">
        <v>1007</v>
      </c>
      <c r="O36">
        <v>46143</v>
      </c>
      <c r="P36" t="str">
        <v>Sara Ahmed</v>
      </c>
      <c r="Q36" t="str">
        <v>West</v>
      </c>
      <c r="R36" t="str">
        <v>Laptop</v>
      </c>
      <c r="S36">
        <v>5100</v>
      </c>
      <c r="T36" t="str">
        <v>Emma</v>
      </c>
    </row>
    <row r="37" spans="14:20" x14ac:dyDescent="0.3">
      <c r="N37">
        <v>1010</v>
      </c>
      <c r="O37">
        <v>46235</v>
      </c>
      <c r="P37" t="str">
        <v>Fatima Noor</v>
      </c>
      <c r="Q37" t="str">
        <v>South</v>
      </c>
      <c r="R37" t="str">
        <v>Mobile</v>
      </c>
      <c r="S37">
        <v>1300</v>
      </c>
      <c r="T37" t="str">
        <v>Emma</v>
      </c>
    </row>
    <row r="40" spans="14:20" x14ac:dyDescent="0.3">
      <c r="N40" t="s">
        <v>35</v>
      </c>
    </row>
    <row r="41" spans="14:20" x14ac:dyDescent="0.3">
      <c r="N41" cm="1">
        <f t="array" ref="N41:T41">_xlfn._xlws.FILTER(E6:K18,(H6:H18="West")*(I6:I18="Mobile"))</f>
        <v>1002</v>
      </c>
      <c r="O41">
        <v>46054</v>
      </c>
      <c r="P41" t="str">
        <v>Sara Ahmed</v>
      </c>
      <c r="Q41" t="str">
        <v>West</v>
      </c>
      <c r="R41" t="str">
        <v>Mobile</v>
      </c>
      <c r="S41">
        <v>1200</v>
      </c>
      <c r="T41" t="str">
        <v>Emma</v>
      </c>
    </row>
    <row r="42" spans="14:20" x14ac:dyDescent="0.3">
      <c r="N42" t="s">
        <v>36</v>
      </c>
    </row>
    <row r="43" spans="14:20" x14ac:dyDescent="0.3">
      <c r="N43" t="s">
        <v>38</v>
      </c>
    </row>
    <row r="44" spans="14:20" x14ac:dyDescent="0.3">
      <c r="N44" t="s">
        <v>37</v>
      </c>
    </row>
    <row r="45" spans="14:20" x14ac:dyDescent="0.3">
      <c r="N45" t="s">
        <v>39</v>
      </c>
    </row>
    <row r="46" spans="14:20" x14ac:dyDescent="0.3">
      <c r="N46" t="s">
        <v>40</v>
      </c>
    </row>
    <row r="47" spans="14:20" x14ac:dyDescent="0.3">
      <c r="N47" t="str" cm="1">
        <f t="array" ref="N47:T48">_xlfn.VSTACK(E6:K6,_xlfn._xlws.FILTER(E6:K18,(H6:H18="West")*(I6:I18="Mobile")))</f>
        <v>Order_ID</v>
      </c>
      <c r="O47" t="str">
        <v>Order_Date</v>
      </c>
      <c r="P47" t="str">
        <v>Customer_Name</v>
      </c>
      <c r="Q47" t="str">
        <v>Region</v>
      </c>
      <c r="R47" t="str">
        <v>Product</v>
      </c>
      <c r="S47" t="str">
        <v>Sales_Amount</v>
      </c>
      <c r="T47" t="str">
        <v>Sales_Rep</v>
      </c>
    </row>
    <row r="48" spans="14:20" x14ac:dyDescent="0.3">
      <c r="N48">
        <v>1002</v>
      </c>
      <c r="O48">
        <v>46054</v>
      </c>
      <c r="P48" t="str">
        <v>Sara Ahmed</v>
      </c>
      <c r="Q48" t="str">
        <v>West</v>
      </c>
      <c r="R48" t="str">
        <v>Mobile</v>
      </c>
      <c r="S48">
        <v>1200</v>
      </c>
      <c r="T48" t="str">
        <v>Emma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709D-888F-451B-B446-465B32CF9084}">
  <dimension ref="E8:U39"/>
  <sheetViews>
    <sheetView topLeftCell="D17" workbookViewId="0">
      <selection activeCell="E39" sqref="E39"/>
    </sheetView>
  </sheetViews>
  <sheetFormatPr defaultRowHeight="14.4" x14ac:dyDescent="0.3"/>
  <cols>
    <col min="16" max="16" width="14.6640625" customWidth="1"/>
  </cols>
  <sheetData>
    <row r="8" spans="5:21" ht="129.6" x14ac:dyDescent="0.3">
      <c r="E8" s="1" t="s">
        <v>0</v>
      </c>
      <c r="F8" s="1" t="s">
        <v>1</v>
      </c>
      <c r="G8" s="1" t="s">
        <v>2</v>
      </c>
      <c r="H8" s="1" t="s">
        <v>3</v>
      </c>
      <c r="I8" s="1" t="s">
        <v>4</v>
      </c>
      <c r="J8" s="1" t="s">
        <v>5</v>
      </c>
      <c r="K8" s="1" t="s">
        <v>6</v>
      </c>
      <c r="L8" s="14" t="s">
        <v>41</v>
      </c>
      <c r="M8" s="14" t="s">
        <v>42</v>
      </c>
      <c r="N8" s="14" t="s">
        <v>43</v>
      </c>
      <c r="O8" s="14" t="s">
        <v>44</v>
      </c>
      <c r="P8" s="14" t="s">
        <v>45</v>
      </c>
      <c r="Q8" s="14" t="s">
        <v>46</v>
      </c>
      <c r="R8" s="14" t="s">
        <v>47</v>
      </c>
      <c r="S8" s="15" t="s">
        <v>48</v>
      </c>
      <c r="T8" s="15" t="s">
        <v>49</v>
      </c>
      <c r="U8" s="15" t="s">
        <v>50</v>
      </c>
    </row>
    <row r="9" spans="5:21" ht="43.2" x14ac:dyDescent="0.3">
      <c r="E9" s="10">
        <v>1001</v>
      </c>
      <c r="F9" s="11">
        <v>46023</v>
      </c>
      <c r="G9" s="10" t="s">
        <v>7</v>
      </c>
      <c r="H9" s="10" t="s">
        <v>8</v>
      </c>
      <c r="I9" s="10" t="s">
        <v>9</v>
      </c>
      <c r="J9" s="12">
        <v>5000</v>
      </c>
      <c r="K9" s="10" t="s">
        <v>10</v>
      </c>
      <c r="L9" t="str">
        <f>IF(J9&gt;3000,"high","low")</f>
        <v>high</v>
      </c>
      <c r="M9" t="str">
        <f>IF(H9="East","Priority","Normal")</f>
        <v>Priority</v>
      </c>
      <c r="N9" t="str">
        <f>IF(I9="Laptop","Premium","Standard")</f>
        <v>Premium</v>
      </c>
      <c r="O9" t="str">
        <f>IF(J9&lt;1000,"Low Value","High Value")</f>
        <v>High Value</v>
      </c>
      <c r="P9" s="14" t="str">
        <f>IF(K9="John","Top Performer","Other")</f>
        <v>Top Performer</v>
      </c>
      <c r="Q9">
        <f>SUMIF(H8:H20,"East",J8:J20)</f>
        <v>17600</v>
      </c>
      <c r="R9">
        <f>SUMIF(I8:I20,"Laptop",J8:J20)</f>
        <v>25300</v>
      </c>
      <c r="S9">
        <f>SUMIF(K9:K20,"Emma",J9:J20)</f>
        <v>8400</v>
      </c>
      <c r="T9">
        <f>SUMIFS(J9:J20,H9:H20,"West",I9:I20,"Laptop")</f>
        <v>5100</v>
      </c>
      <c r="U9">
        <f>SUMIF(J9:J20,"&gt;1000",J9:J20)</f>
        <v>29300</v>
      </c>
    </row>
    <row r="10" spans="5:21" ht="28.8" x14ac:dyDescent="0.3">
      <c r="E10" s="10">
        <v>1002</v>
      </c>
      <c r="F10" s="11">
        <v>46054</v>
      </c>
      <c r="G10" s="10" t="s">
        <v>11</v>
      </c>
      <c r="H10" s="10" t="s">
        <v>12</v>
      </c>
      <c r="I10" s="10" t="s">
        <v>13</v>
      </c>
      <c r="J10" s="12">
        <v>1200</v>
      </c>
      <c r="K10" s="10" t="s">
        <v>14</v>
      </c>
      <c r="L10" t="str">
        <f>IF(J10&gt;3000,"high","low")</f>
        <v>low</v>
      </c>
      <c r="M10" t="str">
        <f t="shared" ref="M10:M20" si="0">IF(H10="East","Priority","Normal")</f>
        <v>Normal</v>
      </c>
      <c r="N10" t="str">
        <f t="shared" ref="N10:N20" si="1">IF(I10="Laptop","Premium","Standard")</f>
        <v>Standard</v>
      </c>
      <c r="O10" t="str">
        <f t="shared" ref="O10:O20" si="2">IF(J10&lt;1000,"Low Value","High Value")</f>
        <v>High Value</v>
      </c>
      <c r="P10" s="14" t="str">
        <f t="shared" ref="P10:P20" si="3">IF(K10="John","Top Performer","Other")</f>
        <v>Other</v>
      </c>
    </row>
    <row r="11" spans="5:21" ht="43.2" x14ac:dyDescent="0.3">
      <c r="E11" s="10">
        <v>1003</v>
      </c>
      <c r="F11" s="11">
        <v>46054</v>
      </c>
      <c r="G11" s="10" t="s">
        <v>7</v>
      </c>
      <c r="H11" s="10" t="s">
        <v>8</v>
      </c>
      <c r="I11" s="10" t="s">
        <v>15</v>
      </c>
      <c r="J11" s="12">
        <v>200</v>
      </c>
      <c r="K11" s="10" t="s">
        <v>10</v>
      </c>
      <c r="L11" t="str">
        <f>IF(J11&gt;3000,"high","low")</f>
        <v>low</v>
      </c>
      <c r="M11" t="str">
        <f t="shared" si="0"/>
        <v>Priority</v>
      </c>
      <c r="N11" t="str">
        <f t="shared" si="1"/>
        <v>Standard</v>
      </c>
      <c r="O11" t="str">
        <f t="shared" si="2"/>
        <v>Low Value</v>
      </c>
      <c r="P11" s="14" t="str">
        <f t="shared" si="3"/>
        <v>Top Performer</v>
      </c>
    </row>
    <row r="12" spans="5:21" x14ac:dyDescent="0.3">
      <c r="E12" s="10">
        <v>1004</v>
      </c>
      <c r="F12" s="11">
        <v>46082</v>
      </c>
      <c r="G12" s="10" t="s">
        <v>16</v>
      </c>
      <c r="H12" s="10" t="s">
        <v>17</v>
      </c>
      <c r="I12" s="10" t="s">
        <v>9</v>
      </c>
      <c r="J12" s="12">
        <v>5200</v>
      </c>
      <c r="K12" s="10" t="s">
        <v>18</v>
      </c>
      <c r="L12" t="str">
        <f>IF(J12&gt;3000,"high","low")</f>
        <v>high</v>
      </c>
      <c r="M12" t="str">
        <f t="shared" si="0"/>
        <v>Normal</v>
      </c>
      <c r="N12" t="str">
        <f t="shared" si="1"/>
        <v>Premium</v>
      </c>
      <c r="O12" t="str">
        <f t="shared" si="2"/>
        <v>High Value</v>
      </c>
      <c r="P12" s="14" t="str">
        <f t="shared" si="3"/>
        <v>Other</v>
      </c>
    </row>
    <row r="13" spans="5:21" ht="28.8" x14ac:dyDescent="0.3">
      <c r="E13" s="10">
        <v>1005</v>
      </c>
      <c r="F13" s="11">
        <v>46113</v>
      </c>
      <c r="G13" s="10" t="s">
        <v>19</v>
      </c>
      <c r="H13" s="10" t="s">
        <v>20</v>
      </c>
      <c r="I13" s="10" t="s">
        <v>21</v>
      </c>
      <c r="J13" s="12">
        <v>800</v>
      </c>
      <c r="K13" s="10" t="s">
        <v>14</v>
      </c>
      <c r="L13" t="str">
        <f>IF(J13&gt;3000,"high","low")</f>
        <v>low</v>
      </c>
      <c r="M13" t="str">
        <f t="shared" si="0"/>
        <v>Normal</v>
      </c>
      <c r="N13" t="str">
        <f t="shared" si="1"/>
        <v>Standard</v>
      </c>
      <c r="O13" t="str">
        <f t="shared" si="2"/>
        <v>Low Value</v>
      </c>
      <c r="P13" s="14" t="str">
        <f t="shared" si="3"/>
        <v>Other</v>
      </c>
    </row>
    <row r="14" spans="5:21" ht="43.2" x14ac:dyDescent="0.3">
      <c r="E14" s="10">
        <v>1006</v>
      </c>
      <c r="F14" s="11">
        <v>46143</v>
      </c>
      <c r="G14" s="10" t="s">
        <v>22</v>
      </c>
      <c r="H14" s="10" t="s">
        <v>8</v>
      </c>
      <c r="I14" s="10" t="s">
        <v>13</v>
      </c>
      <c r="J14" s="12">
        <v>1500</v>
      </c>
      <c r="K14" s="10" t="s">
        <v>10</v>
      </c>
      <c r="L14" t="str">
        <f>IF(J14&gt;3000,"high","low")</f>
        <v>low</v>
      </c>
      <c r="M14" t="str">
        <f t="shared" si="0"/>
        <v>Priority</v>
      </c>
      <c r="N14" t="str">
        <f t="shared" si="1"/>
        <v>Standard</v>
      </c>
      <c r="O14" t="str">
        <f t="shared" si="2"/>
        <v>High Value</v>
      </c>
      <c r="P14" s="14" t="str">
        <f t="shared" si="3"/>
        <v>Top Performer</v>
      </c>
    </row>
    <row r="15" spans="5:21" ht="28.8" x14ac:dyDescent="0.3">
      <c r="E15" s="10">
        <v>1007</v>
      </c>
      <c r="F15" s="11">
        <v>46143</v>
      </c>
      <c r="G15" s="10" t="s">
        <v>11</v>
      </c>
      <c r="H15" s="10" t="s">
        <v>12</v>
      </c>
      <c r="I15" s="10" t="s">
        <v>9</v>
      </c>
      <c r="J15" s="12">
        <v>5100</v>
      </c>
      <c r="K15" s="10" t="s">
        <v>14</v>
      </c>
      <c r="L15" t="str">
        <f>IF(J15&gt;3000,"high","low")</f>
        <v>high</v>
      </c>
      <c r="M15" t="str">
        <f t="shared" si="0"/>
        <v>Normal</v>
      </c>
      <c r="N15" t="str">
        <f t="shared" si="1"/>
        <v>Premium</v>
      </c>
      <c r="O15" t="str">
        <f t="shared" si="2"/>
        <v>High Value</v>
      </c>
      <c r="P15" s="14" t="str">
        <f t="shared" si="3"/>
        <v>Other</v>
      </c>
    </row>
    <row r="16" spans="5:21" ht="43.2" x14ac:dyDescent="0.3">
      <c r="E16" s="10">
        <v>1008</v>
      </c>
      <c r="F16" s="11">
        <v>46174</v>
      </c>
      <c r="G16" s="10" t="s">
        <v>7</v>
      </c>
      <c r="H16" s="10" t="s">
        <v>8</v>
      </c>
      <c r="I16" s="10" t="s">
        <v>9</v>
      </c>
      <c r="J16" s="12">
        <v>5000</v>
      </c>
      <c r="K16" s="10" t="s">
        <v>10</v>
      </c>
      <c r="L16" t="str">
        <f>IF(J16&gt;3000,"high","low")</f>
        <v>high</v>
      </c>
      <c r="M16" t="str">
        <f t="shared" si="0"/>
        <v>Priority</v>
      </c>
      <c r="N16" t="str">
        <f t="shared" si="1"/>
        <v>Premium</v>
      </c>
      <c r="O16" t="str">
        <f t="shared" si="2"/>
        <v>High Value</v>
      </c>
      <c r="P16" s="14" t="str">
        <f t="shared" si="3"/>
        <v>Top Performer</v>
      </c>
    </row>
    <row r="17" spans="5:16" x14ac:dyDescent="0.3">
      <c r="E17" s="10">
        <v>1009</v>
      </c>
      <c r="F17" s="11">
        <v>46204</v>
      </c>
      <c r="G17" s="10" t="s">
        <v>16</v>
      </c>
      <c r="H17" s="10" t="s">
        <v>17</v>
      </c>
      <c r="I17" s="10" t="s">
        <v>15</v>
      </c>
      <c r="J17" s="12">
        <v>250</v>
      </c>
      <c r="K17" s="10" t="s">
        <v>18</v>
      </c>
      <c r="L17" t="str">
        <f>IF(J17&gt;3000,"high","low")</f>
        <v>low</v>
      </c>
      <c r="M17" t="str">
        <f t="shared" si="0"/>
        <v>Normal</v>
      </c>
      <c r="N17" t="str">
        <f t="shared" si="1"/>
        <v>Standard</v>
      </c>
      <c r="O17" t="str">
        <f t="shared" si="2"/>
        <v>Low Value</v>
      </c>
      <c r="P17" s="14" t="str">
        <f t="shared" si="3"/>
        <v>Other</v>
      </c>
    </row>
    <row r="18" spans="5:16" ht="28.8" x14ac:dyDescent="0.3">
      <c r="E18" s="10">
        <v>1010</v>
      </c>
      <c r="F18" s="11">
        <v>46235</v>
      </c>
      <c r="G18" s="10" t="s">
        <v>19</v>
      </c>
      <c r="H18" s="10" t="s">
        <v>20</v>
      </c>
      <c r="I18" s="10" t="s">
        <v>13</v>
      </c>
      <c r="J18" s="12">
        <v>1300</v>
      </c>
      <c r="K18" s="10" t="s">
        <v>14</v>
      </c>
      <c r="L18" t="str">
        <f>IF(J18&gt;3000,"high","low")</f>
        <v>low</v>
      </c>
      <c r="M18" t="str">
        <f t="shared" si="0"/>
        <v>Normal</v>
      </c>
      <c r="N18" t="str">
        <f t="shared" si="1"/>
        <v>Standard</v>
      </c>
      <c r="O18" t="str">
        <f t="shared" si="2"/>
        <v>High Value</v>
      </c>
      <c r="P18" s="14" t="str">
        <f t="shared" si="3"/>
        <v>Other</v>
      </c>
    </row>
    <row r="19" spans="5:16" ht="43.2" x14ac:dyDescent="0.3">
      <c r="E19" s="10">
        <v>1011</v>
      </c>
      <c r="F19" s="11">
        <v>46235</v>
      </c>
      <c r="G19" s="10" t="s">
        <v>7</v>
      </c>
      <c r="H19" s="10" t="s">
        <v>8</v>
      </c>
      <c r="I19" s="10" t="s">
        <v>9</v>
      </c>
      <c r="J19" s="12">
        <v>5000</v>
      </c>
      <c r="K19" s="10" t="s">
        <v>10</v>
      </c>
      <c r="L19" t="str">
        <f>IF(J19&gt;3000,"high","low")</f>
        <v>high</v>
      </c>
      <c r="M19" t="str">
        <f t="shared" si="0"/>
        <v>Priority</v>
      </c>
      <c r="N19" t="str">
        <f t="shared" si="1"/>
        <v>Premium</v>
      </c>
      <c r="O19" t="str">
        <f t="shared" si="2"/>
        <v>High Value</v>
      </c>
      <c r="P19" s="14" t="str">
        <f t="shared" si="3"/>
        <v>Top Performer</v>
      </c>
    </row>
    <row r="20" spans="5:16" ht="43.2" x14ac:dyDescent="0.3">
      <c r="E20" s="10">
        <v>1012</v>
      </c>
      <c r="F20" s="11">
        <v>46266</v>
      </c>
      <c r="G20" s="10" t="s">
        <v>22</v>
      </c>
      <c r="H20" s="10" t="s">
        <v>8</v>
      </c>
      <c r="I20" s="10" t="s">
        <v>21</v>
      </c>
      <c r="J20" s="12">
        <v>900</v>
      </c>
      <c r="K20" s="10" t="s">
        <v>10</v>
      </c>
      <c r="L20" t="str">
        <f>IF(J20&gt;3000,"high","low")</f>
        <v>low</v>
      </c>
      <c r="M20" t="str">
        <f t="shared" si="0"/>
        <v>Priority</v>
      </c>
      <c r="N20" t="str">
        <f t="shared" si="1"/>
        <v>Standard</v>
      </c>
      <c r="O20" t="str">
        <f t="shared" si="2"/>
        <v>Low Value</v>
      </c>
      <c r="P20" s="14" t="str">
        <f t="shared" si="3"/>
        <v>Top Performer</v>
      </c>
    </row>
    <row r="24" spans="5:16" x14ac:dyDescent="0.3">
      <c r="F24" s="16" t="s">
        <v>51</v>
      </c>
    </row>
    <row r="25" spans="5:16" x14ac:dyDescent="0.3">
      <c r="F25" s="17" t="s">
        <v>52</v>
      </c>
      <c r="G25" s="17"/>
      <c r="H25" s="17"/>
    </row>
    <row r="26" spans="5:16" x14ac:dyDescent="0.3">
      <c r="F26" t="s">
        <v>53</v>
      </c>
    </row>
    <row r="27" spans="5:16" x14ac:dyDescent="0.3">
      <c r="E27" t="s">
        <v>63</v>
      </c>
      <c r="F27" t="s">
        <v>62</v>
      </c>
    </row>
    <row r="28" spans="5:16" x14ac:dyDescent="0.3">
      <c r="F28" s="17" t="s">
        <v>54</v>
      </c>
      <c r="G28" s="17"/>
      <c r="H28" s="17"/>
    </row>
    <row r="29" spans="5:16" x14ac:dyDescent="0.3">
      <c r="F29" t="s">
        <v>55</v>
      </c>
    </row>
    <row r="30" spans="5:16" x14ac:dyDescent="0.3">
      <c r="E30" t="s">
        <v>63</v>
      </c>
      <c r="F30" t="s">
        <v>61</v>
      </c>
    </row>
    <row r="32" spans="5:16" x14ac:dyDescent="0.3">
      <c r="F32" s="17" t="s">
        <v>56</v>
      </c>
    </row>
    <row r="33" spans="5:6" x14ac:dyDescent="0.3">
      <c r="F33" t="s">
        <v>57</v>
      </c>
    </row>
    <row r="34" spans="5:6" x14ac:dyDescent="0.3">
      <c r="E34" t="s">
        <v>63</v>
      </c>
      <c r="F34" t="s">
        <v>60</v>
      </c>
    </row>
    <row r="38" spans="5:6" x14ac:dyDescent="0.3">
      <c r="F38" s="17" t="s">
        <v>58</v>
      </c>
    </row>
    <row r="39" spans="5:6" x14ac:dyDescent="0.3">
      <c r="E39" t="s">
        <v>64</v>
      </c>
      <c r="F39" t="s">
        <v>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7E42-4E41-4D44-9BA8-13E9B07F4113}">
  <dimension ref="E7:T47"/>
  <sheetViews>
    <sheetView topLeftCell="C3" workbookViewId="0">
      <selection activeCell="E7" sqref="E7:K19"/>
    </sheetView>
  </sheetViews>
  <sheetFormatPr defaultRowHeight="14.4" x14ac:dyDescent="0.3"/>
  <cols>
    <col min="15" max="15" width="12.44140625" bestFit="1" customWidth="1"/>
    <col min="16" max="16" width="15.5546875" bestFit="1" customWidth="1"/>
    <col min="17" max="17" width="6.77734375" bestFit="1" customWidth="1"/>
    <col min="18" max="18" width="6.6640625" bestFit="1" customWidth="1"/>
    <col min="19" max="19" width="6.33203125" bestFit="1" customWidth="1"/>
    <col min="20" max="20" width="10.5546875" bestFit="1" customWidth="1"/>
  </cols>
  <sheetData>
    <row r="7" spans="5:16" ht="28.8" x14ac:dyDescent="0.3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 t="s">
        <v>5</v>
      </c>
      <c r="K7" s="1" t="s">
        <v>6</v>
      </c>
      <c r="O7" t="s">
        <v>68</v>
      </c>
    </row>
    <row r="8" spans="5:16" x14ac:dyDescent="0.3">
      <c r="E8" s="10">
        <v>1001</v>
      </c>
      <c r="F8" s="11">
        <v>46023</v>
      </c>
      <c r="G8" s="10" t="s">
        <v>7</v>
      </c>
      <c r="H8" s="10" t="s">
        <v>8</v>
      </c>
      <c r="I8" s="10" t="s">
        <v>9</v>
      </c>
      <c r="J8" s="12">
        <v>5000</v>
      </c>
      <c r="K8" s="10" t="s">
        <v>10</v>
      </c>
      <c r="O8" s="18" t="s">
        <v>65</v>
      </c>
      <c r="P8" t="s">
        <v>67</v>
      </c>
    </row>
    <row r="9" spans="5:16" ht="28.8" x14ac:dyDescent="0.3">
      <c r="E9" s="10">
        <v>1002</v>
      </c>
      <c r="F9" s="11">
        <v>46054</v>
      </c>
      <c r="G9" s="10" t="s">
        <v>11</v>
      </c>
      <c r="H9" s="10" t="s">
        <v>12</v>
      </c>
      <c r="I9" s="10" t="s">
        <v>13</v>
      </c>
      <c r="J9" s="12">
        <v>1200</v>
      </c>
      <c r="K9" s="10" t="s">
        <v>14</v>
      </c>
      <c r="O9" s="19" t="s">
        <v>8</v>
      </c>
      <c r="P9" s="20">
        <v>17600</v>
      </c>
    </row>
    <row r="10" spans="5:16" x14ac:dyDescent="0.3">
      <c r="E10" s="10">
        <v>1003</v>
      </c>
      <c r="F10" s="11">
        <v>46054</v>
      </c>
      <c r="G10" s="10" t="s">
        <v>7</v>
      </c>
      <c r="H10" s="10" t="s">
        <v>8</v>
      </c>
      <c r="I10" s="10" t="s">
        <v>15</v>
      </c>
      <c r="J10" s="12">
        <v>200</v>
      </c>
      <c r="K10" s="10" t="s">
        <v>10</v>
      </c>
      <c r="O10" s="19" t="s">
        <v>17</v>
      </c>
      <c r="P10" s="20">
        <v>5450</v>
      </c>
    </row>
    <row r="11" spans="5:16" x14ac:dyDescent="0.3">
      <c r="E11" s="10">
        <v>1004</v>
      </c>
      <c r="F11" s="11">
        <v>46082</v>
      </c>
      <c r="G11" s="10" t="s">
        <v>16</v>
      </c>
      <c r="H11" s="10" t="s">
        <v>17</v>
      </c>
      <c r="I11" s="10" t="s">
        <v>9</v>
      </c>
      <c r="J11" s="12">
        <v>5200</v>
      </c>
      <c r="K11" s="10" t="s">
        <v>18</v>
      </c>
      <c r="O11" s="19" t="s">
        <v>20</v>
      </c>
      <c r="P11" s="20">
        <v>2100</v>
      </c>
    </row>
    <row r="12" spans="5:16" ht="28.8" x14ac:dyDescent="0.3">
      <c r="E12" s="10">
        <v>1005</v>
      </c>
      <c r="F12" s="11">
        <v>46113</v>
      </c>
      <c r="G12" s="10" t="s">
        <v>19</v>
      </c>
      <c r="H12" s="10" t="s">
        <v>20</v>
      </c>
      <c r="I12" s="10" t="s">
        <v>21</v>
      </c>
      <c r="J12" s="12">
        <v>800</v>
      </c>
      <c r="K12" s="10" t="s">
        <v>14</v>
      </c>
      <c r="O12" s="19" t="s">
        <v>12</v>
      </c>
      <c r="P12" s="20">
        <v>6300</v>
      </c>
    </row>
    <row r="13" spans="5:16" ht="28.8" x14ac:dyDescent="0.3">
      <c r="E13" s="10">
        <v>1006</v>
      </c>
      <c r="F13" s="11">
        <v>46143</v>
      </c>
      <c r="G13" s="10" t="s">
        <v>22</v>
      </c>
      <c r="H13" s="10" t="s">
        <v>8</v>
      </c>
      <c r="I13" s="10" t="s">
        <v>13</v>
      </c>
      <c r="J13" s="12">
        <v>1500</v>
      </c>
      <c r="K13" s="10" t="s">
        <v>10</v>
      </c>
      <c r="O13" s="19" t="s">
        <v>66</v>
      </c>
      <c r="P13" s="20">
        <v>31450</v>
      </c>
    </row>
    <row r="14" spans="5:16" ht="28.8" x14ac:dyDescent="0.3">
      <c r="E14" s="10">
        <v>1007</v>
      </c>
      <c r="F14" s="11">
        <v>46143</v>
      </c>
      <c r="G14" s="10" t="s">
        <v>11</v>
      </c>
      <c r="H14" s="10" t="s">
        <v>12</v>
      </c>
      <c r="I14" s="10" t="s">
        <v>9</v>
      </c>
      <c r="J14" s="12">
        <v>5100</v>
      </c>
      <c r="K14" s="10" t="s">
        <v>14</v>
      </c>
    </row>
    <row r="15" spans="5:16" x14ac:dyDescent="0.3">
      <c r="E15" s="10">
        <v>1008</v>
      </c>
      <c r="F15" s="11">
        <v>46174</v>
      </c>
      <c r="G15" s="10" t="s">
        <v>7</v>
      </c>
      <c r="H15" s="10" t="s">
        <v>8</v>
      </c>
      <c r="I15" s="10" t="s">
        <v>9</v>
      </c>
      <c r="J15" s="12">
        <v>5000</v>
      </c>
      <c r="K15" s="10" t="s">
        <v>10</v>
      </c>
      <c r="O15" t="s">
        <v>69</v>
      </c>
    </row>
    <row r="16" spans="5:16" x14ac:dyDescent="0.3">
      <c r="E16" s="10">
        <v>1009</v>
      </c>
      <c r="F16" s="11">
        <v>46204</v>
      </c>
      <c r="G16" s="10" t="s">
        <v>16</v>
      </c>
      <c r="H16" s="10" t="s">
        <v>17</v>
      </c>
      <c r="I16" s="10" t="s">
        <v>15</v>
      </c>
      <c r="J16" s="12">
        <v>250</v>
      </c>
      <c r="K16" s="10" t="s">
        <v>18</v>
      </c>
      <c r="O16" s="18" t="s">
        <v>65</v>
      </c>
      <c r="P16" t="s">
        <v>67</v>
      </c>
    </row>
    <row r="17" spans="5:16" ht="28.8" x14ac:dyDescent="0.3">
      <c r="E17" s="10">
        <v>1010</v>
      </c>
      <c r="F17" s="11">
        <v>46235</v>
      </c>
      <c r="G17" s="10" t="s">
        <v>19</v>
      </c>
      <c r="H17" s="10" t="s">
        <v>20</v>
      </c>
      <c r="I17" s="10" t="s">
        <v>13</v>
      </c>
      <c r="J17" s="12">
        <v>1300</v>
      </c>
      <c r="K17" s="10" t="s">
        <v>14</v>
      </c>
      <c r="O17" s="19" t="s">
        <v>21</v>
      </c>
      <c r="P17" s="20">
        <v>1700</v>
      </c>
    </row>
    <row r="18" spans="5:16" x14ac:dyDescent="0.3">
      <c r="E18" s="10">
        <v>1011</v>
      </c>
      <c r="F18" s="11">
        <v>46235</v>
      </c>
      <c r="G18" s="10" t="s">
        <v>7</v>
      </c>
      <c r="H18" s="10" t="s">
        <v>8</v>
      </c>
      <c r="I18" s="10" t="s">
        <v>9</v>
      </c>
      <c r="J18" s="12">
        <v>5000</v>
      </c>
      <c r="K18" s="10" t="s">
        <v>10</v>
      </c>
      <c r="O18" s="19" t="s">
        <v>9</v>
      </c>
      <c r="P18" s="20">
        <v>25300</v>
      </c>
    </row>
    <row r="19" spans="5:16" ht="28.8" x14ac:dyDescent="0.3">
      <c r="E19" s="10">
        <v>1012</v>
      </c>
      <c r="F19" s="11">
        <v>46266</v>
      </c>
      <c r="G19" s="10" t="s">
        <v>22</v>
      </c>
      <c r="H19" s="10" t="s">
        <v>8</v>
      </c>
      <c r="I19" s="10" t="s">
        <v>21</v>
      </c>
      <c r="J19" s="12">
        <v>900</v>
      </c>
      <c r="K19" s="10" t="s">
        <v>10</v>
      </c>
      <c r="O19" s="19" t="s">
        <v>13</v>
      </c>
      <c r="P19" s="20">
        <v>4000</v>
      </c>
    </row>
    <row r="20" spans="5:16" x14ac:dyDescent="0.3">
      <c r="O20" s="19" t="s">
        <v>15</v>
      </c>
      <c r="P20" s="20">
        <v>450</v>
      </c>
    </row>
    <row r="21" spans="5:16" x14ac:dyDescent="0.3">
      <c r="O21" s="19" t="s">
        <v>66</v>
      </c>
      <c r="P21" s="20">
        <v>31450</v>
      </c>
    </row>
    <row r="23" spans="5:16" x14ac:dyDescent="0.3">
      <c r="O23" t="s">
        <v>70</v>
      </c>
    </row>
    <row r="24" spans="5:16" x14ac:dyDescent="0.3">
      <c r="O24" s="18" t="s">
        <v>65</v>
      </c>
      <c r="P24" t="s">
        <v>67</v>
      </c>
    </row>
    <row r="25" spans="5:16" x14ac:dyDescent="0.3">
      <c r="O25" s="19" t="s">
        <v>18</v>
      </c>
      <c r="P25" s="20">
        <v>5450</v>
      </c>
    </row>
    <row r="26" spans="5:16" x14ac:dyDescent="0.3">
      <c r="O26" s="19" t="s">
        <v>14</v>
      </c>
      <c r="P26" s="20">
        <v>8400</v>
      </c>
    </row>
    <row r="27" spans="5:16" x14ac:dyDescent="0.3">
      <c r="O27" s="19" t="s">
        <v>10</v>
      </c>
      <c r="P27" s="20">
        <v>17600</v>
      </c>
    </row>
    <row r="28" spans="5:16" x14ac:dyDescent="0.3">
      <c r="O28" s="19" t="s">
        <v>66</v>
      </c>
      <c r="P28" s="20">
        <v>31450</v>
      </c>
    </row>
    <row r="31" spans="5:16" x14ac:dyDescent="0.3">
      <c r="O31" s="19" t="s">
        <v>72</v>
      </c>
    </row>
    <row r="32" spans="5:16" x14ac:dyDescent="0.3">
      <c r="O32" s="18" t="s">
        <v>67</v>
      </c>
      <c r="P32" s="18" t="s">
        <v>71</v>
      </c>
    </row>
    <row r="33" spans="15:20" x14ac:dyDescent="0.3">
      <c r="O33" s="18" t="s">
        <v>65</v>
      </c>
      <c r="P33" t="s">
        <v>21</v>
      </c>
      <c r="Q33" t="s">
        <v>9</v>
      </c>
      <c r="R33" t="s">
        <v>13</v>
      </c>
      <c r="S33" t="s">
        <v>15</v>
      </c>
      <c r="T33" t="s">
        <v>66</v>
      </c>
    </row>
    <row r="34" spans="15:20" x14ac:dyDescent="0.3">
      <c r="O34" s="19" t="s">
        <v>8</v>
      </c>
      <c r="P34" s="20">
        <v>900</v>
      </c>
      <c r="Q34" s="20">
        <v>15000</v>
      </c>
      <c r="R34" s="20">
        <v>1500</v>
      </c>
      <c r="S34" s="20">
        <v>200</v>
      </c>
      <c r="T34" s="20">
        <v>17600</v>
      </c>
    </row>
    <row r="35" spans="15:20" x14ac:dyDescent="0.3">
      <c r="O35" s="19" t="s">
        <v>17</v>
      </c>
      <c r="P35" s="20"/>
      <c r="Q35" s="20">
        <v>5200</v>
      </c>
      <c r="R35" s="20"/>
      <c r="S35" s="20">
        <v>250</v>
      </c>
      <c r="T35" s="20">
        <v>5450</v>
      </c>
    </row>
    <row r="36" spans="15:20" x14ac:dyDescent="0.3">
      <c r="O36" s="19" t="s">
        <v>20</v>
      </c>
      <c r="P36" s="20">
        <v>800</v>
      </c>
      <c r="Q36" s="20"/>
      <c r="R36" s="20">
        <v>1300</v>
      </c>
      <c r="S36" s="20"/>
      <c r="T36" s="20">
        <v>2100</v>
      </c>
    </row>
    <row r="37" spans="15:20" x14ac:dyDescent="0.3">
      <c r="O37" s="19" t="s">
        <v>12</v>
      </c>
      <c r="P37" s="20"/>
      <c r="Q37" s="20">
        <v>5100</v>
      </c>
      <c r="R37" s="20">
        <v>1200</v>
      </c>
      <c r="S37" s="20"/>
      <c r="T37" s="20">
        <v>6300</v>
      </c>
    </row>
    <row r="38" spans="15:20" x14ac:dyDescent="0.3">
      <c r="O38" s="19" t="s">
        <v>66</v>
      </c>
      <c r="P38" s="20">
        <v>1700</v>
      </c>
      <c r="Q38" s="20">
        <v>25300</v>
      </c>
      <c r="R38" s="20">
        <v>4000</v>
      </c>
      <c r="S38" s="20">
        <v>450</v>
      </c>
      <c r="T38" s="20">
        <v>31450</v>
      </c>
    </row>
    <row r="40" spans="15:20" x14ac:dyDescent="0.3">
      <c r="O40" t="s">
        <v>73</v>
      </c>
    </row>
    <row r="41" spans="15:20" x14ac:dyDescent="0.3">
      <c r="O41" s="18" t="s">
        <v>65</v>
      </c>
      <c r="P41" t="s">
        <v>74</v>
      </c>
    </row>
    <row r="42" spans="15:20" x14ac:dyDescent="0.3">
      <c r="O42" s="19" t="s">
        <v>7</v>
      </c>
      <c r="P42" s="20">
        <v>4</v>
      </c>
    </row>
    <row r="43" spans="15:20" x14ac:dyDescent="0.3">
      <c r="O43" s="19" t="s">
        <v>16</v>
      </c>
      <c r="P43" s="20">
        <v>2</v>
      </c>
    </row>
    <row r="44" spans="15:20" x14ac:dyDescent="0.3">
      <c r="O44" s="19" t="s">
        <v>19</v>
      </c>
      <c r="P44" s="20">
        <v>2</v>
      </c>
    </row>
    <row r="45" spans="15:20" x14ac:dyDescent="0.3">
      <c r="O45" s="19" t="s">
        <v>22</v>
      </c>
      <c r="P45" s="20">
        <v>2</v>
      </c>
    </row>
    <row r="46" spans="15:20" x14ac:dyDescent="0.3">
      <c r="O46" s="19" t="s">
        <v>11</v>
      </c>
      <c r="P46" s="20">
        <v>2</v>
      </c>
    </row>
    <row r="47" spans="15:20" x14ac:dyDescent="0.3">
      <c r="O47" s="19" t="s">
        <v>66</v>
      </c>
      <c r="P47" s="20">
        <v>12</v>
      </c>
    </row>
  </sheetData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3F2CA-E07C-4B6B-8577-D0C61DC01D46}">
  <dimension ref="E7:X46"/>
  <sheetViews>
    <sheetView topLeftCell="H14" workbookViewId="0">
      <selection activeCell="W14" sqref="W14"/>
    </sheetView>
  </sheetViews>
  <sheetFormatPr defaultRowHeight="14.4" x14ac:dyDescent="0.3"/>
  <sheetData>
    <row r="7" spans="5:24" ht="72" x14ac:dyDescent="0.3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" t="s">
        <v>5</v>
      </c>
      <c r="K7" s="1" t="s">
        <v>6</v>
      </c>
      <c r="L7" s="14" t="s">
        <v>78</v>
      </c>
      <c r="M7" s="14"/>
      <c r="N7" s="14"/>
      <c r="O7" s="14"/>
      <c r="X7" t="s">
        <v>77</v>
      </c>
    </row>
    <row r="8" spans="5:24" ht="28.8" x14ac:dyDescent="0.3">
      <c r="E8" s="10">
        <v>1001</v>
      </c>
      <c r="F8" s="11">
        <v>46023</v>
      </c>
      <c r="G8" s="10" t="s">
        <v>7</v>
      </c>
      <c r="H8" s="10" t="s">
        <v>8</v>
      </c>
      <c r="I8" s="10" t="s">
        <v>9</v>
      </c>
      <c r="J8" s="12">
        <v>5000</v>
      </c>
      <c r="K8" s="10" t="s">
        <v>10</v>
      </c>
      <c r="L8" t="str">
        <f>IF(COUNTIF(E8:E19,E8)&gt;1,"Duplicate","Unique")</f>
        <v>Unique</v>
      </c>
      <c r="O8" s="1" t="s">
        <v>0</v>
      </c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  <c r="X8">
        <f>COUNTA(_xlfn.UNIQUE(Q9:Q13))</f>
        <v>5</v>
      </c>
    </row>
    <row r="9" spans="5:24" ht="28.8" x14ac:dyDescent="0.3">
      <c r="E9" s="10">
        <v>1002</v>
      </c>
      <c r="F9" s="11">
        <v>46054</v>
      </c>
      <c r="G9" s="10" t="s">
        <v>11</v>
      </c>
      <c r="H9" s="10" t="s">
        <v>12</v>
      </c>
      <c r="I9" s="10" t="s">
        <v>13</v>
      </c>
      <c r="J9" s="12">
        <v>1200</v>
      </c>
      <c r="K9" s="10" t="s">
        <v>14</v>
      </c>
      <c r="L9" t="str">
        <f t="shared" ref="L9:L19" si="0">IF(COUNTIF(E9:E20,E9)&gt;1,"Duplicate","Unique")</f>
        <v>Unique</v>
      </c>
      <c r="O9" s="10">
        <v>1001</v>
      </c>
      <c r="P9" s="11">
        <v>46023</v>
      </c>
      <c r="Q9" s="10" t="s">
        <v>7</v>
      </c>
      <c r="R9" s="10" t="s">
        <v>8</v>
      </c>
      <c r="S9" s="10" t="s">
        <v>9</v>
      </c>
      <c r="T9" s="12">
        <v>5000</v>
      </c>
      <c r="U9" s="10" t="s">
        <v>10</v>
      </c>
    </row>
    <row r="10" spans="5:24" ht="28.8" x14ac:dyDescent="0.3">
      <c r="E10" s="10">
        <v>1003</v>
      </c>
      <c r="F10" s="11">
        <v>46054</v>
      </c>
      <c r="G10" s="10" t="s">
        <v>7</v>
      </c>
      <c r="H10" s="10" t="s">
        <v>8</v>
      </c>
      <c r="I10" s="10" t="s">
        <v>15</v>
      </c>
      <c r="J10" s="12">
        <v>200</v>
      </c>
      <c r="K10" s="10" t="s">
        <v>10</v>
      </c>
      <c r="L10" t="str">
        <f t="shared" si="0"/>
        <v>Unique</v>
      </c>
      <c r="O10" s="10">
        <v>1002</v>
      </c>
      <c r="P10" s="11">
        <v>46054</v>
      </c>
      <c r="Q10" s="10" t="s">
        <v>11</v>
      </c>
      <c r="R10" s="10" t="s">
        <v>12</v>
      </c>
      <c r="S10" s="10" t="s">
        <v>13</v>
      </c>
      <c r="T10" s="12">
        <v>1200</v>
      </c>
      <c r="U10" s="10" t="s">
        <v>14</v>
      </c>
    </row>
    <row r="11" spans="5:24" x14ac:dyDescent="0.3">
      <c r="E11" s="10">
        <v>1004</v>
      </c>
      <c r="F11" s="11">
        <v>46082</v>
      </c>
      <c r="G11" s="10" t="s">
        <v>16</v>
      </c>
      <c r="H11" s="10" t="s">
        <v>17</v>
      </c>
      <c r="I11" s="10" t="s">
        <v>9</v>
      </c>
      <c r="J11" s="12">
        <v>5200</v>
      </c>
      <c r="K11" s="10" t="s">
        <v>18</v>
      </c>
      <c r="L11" t="str">
        <f t="shared" si="0"/>
        <v>Unique</v>
      </c>
      <c r="O11" s="10">
        <v>1004</v>
      </c>
      <c r="P11" s="11">
        <v>46082</v>
      </c>
      <c r="Q11" s="10" t="s">
        <v>16</v>
      </c>
      <c r="R11" s="10" t="s">
        <v>17</v>
      </c>
      <c r="S11" s="10" t="s">
        <v>9</v>
      </c>
      <c r="T11" s="12">
        <v>5200</v>
      </c>
      <c r="U11" s="10" t="s">
        <v>18</v>
      </c>
    </row>
    <row r="12" spans="5:24" ht="28.8" x14ac:dyDescent="0.3">
      <c r="E12" s="10">
        <v>1005</v>
      </c>
      <c r="F12" s="11">
        <v>46113</v>
      </c>
      <c r="G12" s="10" t="s">
        <v>19</v>
      </c>
      <c r="H12" s="10" t="s">
        <v>20</v>
      </c>
      <c r="I12" s="10" t="s">
        <v>21</v>
      </c>
      <c r="J12" s="12">
        <v>800</v>
      </c>
      <c r="K12" s="10" t="s">
        <v>14</v>
      </c>
      <c r="L12" t="str">
        <f t="shared" si="0"/>
        <v>Unique</v>
      </c>
      <c r="O12" s="10">
        <v>1005</v>
      </c>
      <c r="P12" s="11">
        <v>46113</v>
      </c>
      <c r="Q12" s="10" t="s">
        <v>19</v>
      </c>
      <c r="R12" s="10" t="s">
        <v>20</v>
      </c>
      <c r="S12" s="10" t="s">
        <v>21</v>
      </c>
      <c r="T12" s="12">
        <v>800</v>
      </c>
      <c r="U12" s="10" t="s">
        <v>14</v>
      </c>
    </row>
    <row r="13" spans="5:24" ht="28.8" x14ac:dyDescent="0.3">
      <c r="E13" s="10">
        <v>1006</v>
      </c>
      <c r="F13" s="11">
        <v>46143</v>
      </c>
      <c r="G13" s="10" t="s">
        <v>22</v>
      </c>
      <c r="H13" s="10" t="s">
        <v>8</v>
      </c>
      <c r="I13" s="10" t="s">
        <v>13</v>
      </c>
      <c r="J13" s="12">
        <v>1500</v>
      </c>
      <c r="K13" s="10" t="s">
        <v>10</v>
      </c>
      <c r="L13" t="str">
        <f t="shared" si="0"/>
        <v>Unique</v>
      </c>
      <c r="O13" s="10">
        <v>1006</v>
      </c>
      <c r="P13" s="11">
        <v>46143</v>
      </c>
      <c r="Q13" s="10" t="s">
        <v>22</v>
      </c>
      <c r="R13" s="10" t="s">
        <v>8</v>
      </c>
      <c r="S13" s="10" t="s">
        <v>13</v>
      </c>
      <c r="T13" s="12">
        <v>1500</v>
      </c>
      <c r="U13" s="10" t="s">
        <v>10</v>
      </c>
    </row>
    <row r="14" spans="5:24" ht="28.8" x14ac:dyDescent="0.3">
      <c r="E14" s="10">
        <v>1007</v>
      </c>
      <c r="F14" s="11">
        <v>46143</v>
      </c>
      <c r="G14" s="10" t="s">
        <v>11</v>
      </c>
      <c r="H14" s="10" t="s">
        <v>12</v>
      </c>
      <c r="I14" s="10" t="s">
        <v>9</v>
      </c>
      <c r="J14" s="12">
        <v>5100</v>
      </c>
      <c r="K14" s="10" t="s">
        <v>14</v>
      </c>
      <c r="L14" t="str">
        <f t="shared" si="0"/>
        <v>Unique</v>
      </c>
    </row>
    <row r="15" spans="5:24" x14ac:dyDescent="0.3">
      <c r="E15" s="10">
        <v>1008</v>
      </c>
      <c r="F15" s="11">
        <v>46174</v>
      </c>
      <c r="G15" s="10" t="s">
        <v>7</v>
      </c>
      <c r="H15" s="10" t="s">
        <v>8</v>
      </c>
      <c r="I15" s="10" t="s">
        <v>9</v>
      </c>
      <c r="J15" s="12">
        <v>5000</v>
      </c>
      <c r="K15" s="10" t="s">
        <v>10</v>
      </c>
      <c r="L15" t="str">
        <f t="shared" si="0"/>
        <v>Unique</v>
      </c>
    </row>
    <row r="16" spans="5:24" x14ac:dyDescent="0.3">
      <c r="E16" s="10">
        <v>1009</v>
      </c>
      <c r="F16" s="11">
        <v>46204</v>
      </c>
      <c r="G16" s="10" t="s">
        <v>16</v>
      </c>
      <c r="H16" s="10" t="s">
        <v>17</v>
      </c>
      <c r="I16" s="10" t="s">
        <v>15</v>
      </c>
      <c r="J16" s="12">
        <v>250</v>
      </c>
      <c r="K16" s="10" t="s">
        <v>18</v>
      </c>
      <c r="L16" t="str">
        <f t="shared" si="0"/>
        <v>Unique</v>
      </c>
    </row>
    <row r="17" spans="5:21" ht="28.8" x14ac:dyDescent="0.3">
      <c r="E17" s="10">
        <v>1010</v>
      </c>
      <c r="F17" s="11">
        <v>46235</v>
      </c>
      <c r="G17" s="10" t="s">
        <v>19</v>
      </c>
      <c r="H17" s="10" t="s">
        <v>20</v>
      </c>
      <c r="I17" s="10" t="s">
        <v>13</v>
      </c>
      <c r="J17" s="12">
        <v>1300</v>
      </c>
      <c r="K17" s="10" t="s">
        <v>14</v>
      </c>
      <c r="L17" t="str">
        <f t="shared" si="0"/>
        <v>Unique</v>
      </c>
    </row>
    <row r="18" spans="5:21" x14ac:dyDescent="0.3">
      <c r="E18" s="10">
        <v>1011</v>
      </c>
      <c r="F18" s="11">
        <v>46235</v>
      </c>
      <c r="G18" s="10" t="s">
        <v>7</v>
      </c>
      <c r="H18" s="10" t="s">
        <v>8</v>
      </c>
      <c r="I18" s="10" t="s">
        <v>9</v>
      </c>
      <c r="J18" s="12">
        <v>5000</v>
      </c>
      <c r="K18" s="10" t="s">
        <v>10</v>
      </c>
      <c r="L18" t="str">
        <f t="shared" si="0"/>
        <v>Unique</v>
      </c>
    </row>
    <row r="19" spans="5:21" ht="28.8" x14ac:dyDescent="0.3">
      <c r="E19" s="10">
        <v>1012</v>
      </c>
      <c r="F19" s="11">
        <v>46266</v>
      </c>
      <c r="G19" s="10" t="s">
        <v>22</v>
      </c>
      <c r="H19" s="10" t="s">
        <v>8</v>
      </c>
      <c r="I19" s="10" t="s">
        <v>21</v>
      </c>
      <c r="J19" s="12">
        <v>900</v>
      </c>
      <c r="K19" s="10" t="s">
        <v>10</v>
      </c>
      <c r="L19" t="str">
        <f t="shared" si="0"/>
        <v>Unique</v>
      </c>
    </row>
    <row r="20" spans="5:21" x14ac:dyDescent="0.3">
      <c r="O20" t="s">
        <v>75</v>
      </c>
    </row>
    <row r="21" spans="5:21" ht="28.8" x14ac:dyDescent="0.3">
      <c r="O21" s="1" t="s">
        <v>0</v>
      </c>
      <c r="P21" s="1" t="s">
        <v>1</v>
      </c>
      <c r="Q21" s="1" t="s">
        <v>2</v>
      </c>
      <c r="R21" s="1" t="s">
        <v>3</v>
      </c>
      <c r="S21" s="1" t="s">
        <v>4</v>
      </c>
      <c r="T21" s="1" t="s">
        <v>5</v>
      </c>
      <c r="U21" s="1" t="s">
        <v>6</v>
      </c>
    </row>
    <row r="22" spans="5:21" x14ac:dyDescent="0.3">
      <c r="O22" s="10">
        <v>1001</v>
      </c>
      <c r="P22" s="11">
        <v>46023</v>
      </c>
      <c r="Q22" s="10" t="s">
        <v>7</v>
      </c>
      <c r="R22" s="10" t="s">
        <v>8</v>
      </c>
      <c r="S22" s="10" t="s">
        <v>9</v>
      </c>
      <c r="T22" s="12">
        <v>5000</v>
      </c>
      <c r="U22" s="10" t="s">
        <v>10</v>
      </c>
    </row>
    <row r="23" spans="5:21" ht="28.8" x14ac:dyDescent="0.3">
      <c r="O23" s="10">
        <v>1002</v>
      </c>
      <c r="P23" s="11">
        <v>46054</v>
      </c>
      <c r="Q23" s="10" t="s">
        <v>11</v>
      </c>
      <c r="R23" s="10" t="s">
        <v>12</v>
      </c>
      <c r="S23" s="10" t="s">
        <v>13</v>
      </c>
      <c r="T23" s="12">
        <v>1200</v>
      </c>
      <c r="U23" s="10" t="s">
        <v>14</v>
      </c>
    </row>
    <row r="24" spans="5:21" x14ac:dyDescent="0.3">
      <c r="O24" s="10">
        <v>1003</v>
      </c>
      <c r="P24" s="11">
        <v>46054</v>
      </c>
      <c r="Q24" s="10" t="s">
        <v>7</v>
      </c>
      <c r="R24" s="10" t="s">
        <v>8</v>
      </c>
      <c r="S24" s="10" t="s">
        <v>15</v>
      </c>
      <c r="T24" s="12">
        <v>200</v>
      </c>
      <c r="U24" s="10" t="s">
        <v>10</v>
      </c>
    </row>
    <row r="25" spans="5:21" ht="28.8" x14ac:dyDescent="0.3">
      <c r="O25" s="10">
        <v>1005</v>
      </c>
      <c r="P25" s="11">
        <v>46113</v>
      </c>
      <c r="Q25" s="10" t="s">
        <v>19</v>
      </c>
      <c r="R25" s="10" t="s">
        <v>20</v>
      </c>
      <c r="S25" s="10" t="s">
        <v>21</v>
      </c>
      <c r="T25" s="12">
        <v>800</v>
      </c>
      <c r="U25" s="10" t="s">
        <v>14</v>
      </c>
    </row>
    <row r="35" spans="15:21" x14ac:dyDescent="0.3">
      <c r="O35" t="s">
        <v>76</v>
      </c>
    </row>
    <row r="36" spans="15:21" ht="28.8" x14ac:dyDescent="0.3">
      <c r="O36" s="1" t="s">
        <v>0</v>
      </c>
      <c r="P36" s="1" t="s">
        <v>1</v>
      </c>
      <c r="Q36" s="1" t="s">
        <v>2</v>
      </c>
      <c r="R36" s="1" t="s">
        <v>3</v>
      </c>
      <c r="S36" s="1" t="s">
        <v>4</v>
      </c>
      <c r="T36" s="1" t="s">
        <v>5</v>
      </c>
      <c r="U36" s="1" t="s">
        <v>6</v>
      </c>
    </row>
    <row r="37" spans="15:21" x14ac:dyDescent="0.3">
      <c r="O37" s="10">
        <v>1001</v>
      </c>
      <c r="P37" s="11">
        <v>46023</v>
      </c>
      <c r="Q37" s="10" t="s">
        <v>7</v>
      </c>
      <c r="R37" s="10" t="s">
        <v>8</v>
      </c>
      <c r="S37" s="10" t="s">
        <v>9</v>
      </c>
      <c r="T37" s="12">
        <v>5000</v>
      </c>
      <c r="U37" s="10" t="s">
        <v>10</v>
      </c>
    </row>
    <row r="38" spans="15:21" ht="28.8" x14ac:dyDescent="0.3">
      <c r="O38" s="10">
        <v>1002</v>
      </c>
      <c r="P38" s="11">
        <v>46054</v>
      </c>
      <c r="Q38" s="10" t="s">
        <v>11</v>
      </c>
      <c r="R38" s="10" t="s">
        <v>12</v>
      </c>
      <c r="S38" s="10" t="s">
        <v>13</v>
      </c>
      <c r="T38" s="12">
        <v>1200</v>
      </c>
      <c r="U38" s="10" t="s">
        <v>14</v>
      </c>
    </row>
    <row r="39" spans="15:21" x14ac:dyDescent="0.3">
      <c r="O39" s="10">
        <v>1003</v>
      </c>
      <c r="P39" s="11">
        <v>46054</v>
      </c>
      <c r="Q39" s="10" t="s">
        <v>7</v>
      </c>
      <c r="R39" s="10" t="s">
        <v>8</v>
      </c>
      <c r="S39" s="10" t="s">
        <v>15</v>
      </c>
      <c r="T39" s="12">
        <v>200</v>
      </c>
      <c r="U39" s="10" t="s">
        <v>10</v>
      </c>
    </row>
    <row r="40" spans="15:21" x14ac:dyDescent="0.3">
      <c r="O40" s="10">
        <v>1004</v>
      </c>
      <c r="P40" s="11">
        <v>46082</v>
      </c>
      <c r="Q40" s="10" t="s">
        <v>16</v>
      </c>
      <c r="R40" s="10" t="s">
        <v>17</v>
      </c>
      <c r="S40" s="10" t="s">
        <v>9</v>
      </c>
      <c r="T40" s="12">
        <v>5200</v>
      </c>
      <c r="U40" s="10" t="s">
        <v>18</v>
      </c>
    </row>
    <row r="41" spans="15:21" ht="28.8" x14ac:dyDescent="0.3">
      <c r="O41" s="10">
        <v>1005</v>
      </c>
      <c r="P41" s="11">
        <v>46113</v>
      </c>
      <c r="Q41" s="10" t="s">
        <v>19</v>
      </c>
      <c r="R41" s="10" t="s">
        <v>20</v>
      </c>
      <c r="S41" s="10" t="s">
        <v>21</v>
      </c>
      <c r="T41" s="12">
        <v>800</v>
      </c>
      <c r="U41" s="10" t="s">
        <v>14</v>
      </c>
    </row>
    <row r="42" spans="15:21" ht="28.8" x14ac:dyDescent="0.3">
      <c r="O42" s="10">
        <v>1006</v>
      </c>
      <c r="P42" s="11">
        <v>46143</v>
      </c>
      <c r="Q42" s="10" t="s">
        <v>22</v>
      </c>
      <c r="R42" s="10" t="s">
        <v>8</v>
      </c>
      <c r="S42" s="10" t="s">
        <v>13</v>
      </c>
      <c r="T42" s="12">
        <v>1500</v>
      </c>
      <c r="U42" s="10" t="s">
        <v>10</v>
      </c>
    </row>
    <row r="43" spans="15:21" ht="28.8" x14ac:dyDescent="0.3">
      <c r="O43" s="10">
        <v>1007</v>
      </c>
      <c r="P43" s="11">
        <v>46143</v>
      </c>
      <c r="Q43" s="10" t="s">
        <v>11</v>
      </c>
      <c r="R43" s="10" t="s">
        <v>12</v>
      </c>
      <c r="S43" s="10" t="s">
        <v>9</v>
      </c>
      <c r="T43" s="12">
        <v>5100</v>
      </c>
      <c r="U43" s="10" t="s">
        <v>14</v>
      </c>
    </row>
    <row r="44" spans="15:21" x14ac:dyDescent="0.3">
      <c r="O44" s="10">
        <v>1009</v>
      </c>
      <c r="P44" s="11">
        <v>46204</v>
      </c>
      <c r="Q44" s="10" t="s">
        <v>16</v>
      </c>
      <c r="R44" s="10" t="s">
        <v>17</v>
      </c>
      <c r="S44" s="10" t="s">
        <v>15</v>
      </c>
      <c r="T44" s="12">
        <v>250</v>
      </c>
      <c r="U44" s="10" t="s">
        <v>18</v>
      </c>
    </row>
    <row r="45" spans="15:21" ht="28.8" x14ac:dyDescent="0.3">
      <c r="O45" s="10">
        <v>1010</v>
      </c>
      <c r="P45" s="11">
        <v>46235</v>
      </c>
      <c r="Q45" s="10" t="s">
        <v>19</v>
      </c>
      <c r="R45" s="10" t="s">
        <v>20</v>
      </c>
      <c r="S45" s="10" t="s">
        <v>13</v>
      </c>
      <c r="T45" s="12">
        <v>1300</v>
      </c>
      <c r="U45" s="10" t="s">
        <v>14</v>
      </c>
    </row>
    <row r="46" spans="15:21" ht="28.8" x14ac:dyDescent="0.3">
      <c r="O46" s="10">
        <v>1012</v>
      </c>
      <c r="P46" s="11">
        <v>46266</v>
      </c>
      <c r="Q46" s="10" t="s">
        <v>22</v>
      </c>
      <c r="R46" s="10" t="s">
        <v>8</v>
      </c>
      <c r="S46" s="10" t="s">
        <v>21</v>
      </c>
      <c r="T46" s="12">
        <v>900</v>
      </c>
      <c r="U46" s="1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A344-5455-4A4B-BD4C-C256EB0CF396}">
  <dimension ref="E5:G30"/>
  <sheetViews>
    <sheetView tabSelected="1" topLeftCell="A3" workbookViewId="0">
      <selection activeCell="E30" sqref="E30"/>
    </sheetView>
  </sheetViews>
  <sheetFormatPr defaultRowHeight="14.4" x14ac:dyDescent="0.3"/>
  <cols>
    <col min="6" max="6" width="29.88671875" customWidth="1"/>
    <col min="7" max="7" width="39.109375" customWidth="1"/>
  </cols>
  <sheetData>
    <row r="5" spans="5:7" x14ac:dyDescent="0.3">
      <c r="E5" s="22" t="s">
        <v>79</v>
      </c>
      <c r="F5" s="22" t="s">
        <v>80</v>
      </c>
      <c r="G5" s="22" t="s">
        <v>51</v>
      </c>
    </row>
    <row r="6" spans="5:7" ht="100.8" x14ac:dyDescent="0.3">
      <c r="E6" s="23" t="s">
        <v>81</v>
      </c>
      <c r="F6" s="2" t="s">
        <v>23</v>
      </c>
      <c r="G6" s="21" t="s">
        <v>103</v>
      </c>
    </row>
    <row r="7" spans="5:7" ht="72" x14ac:dyDescent="0.3">
      <c r="E7" s="23" t="s">
        <v>81</v>
      </c>
      <c r="F7" s="2" t="s">
        <v>24</v>
      </c>
      <c r="G7" s="21" t="s">
        <v>104</v>
      </c>
    </row>
    <row r="8" spans="5:7" ht="75" x14ac:dyDescent="0.3">
      <c r="E8" s="23" t="s">
        <v>81</v>
      </c>
      <c r="F8" s="2" t="s">
        <v>25</v>
      </c>
      <c r="G8" s="21" t="s">
        <v>105</v>
      </c>
    </row>
    <row r="9" spans="5:7" ht="86.4" x14ac:dyDescent="0.3">
      <c r="E9" s="23" t="s">
        <v>81</v>
      </c>
      <c r="F9" s="2" t="s">
        <v>26</v>
      </c>
      <c r="G9" s="21" t="s">
        <v>106</v>
      </c>
    </row>
    <row r="10" spans="5:7" ht="86.4" x14ac:dyDescent="0.3">
      <c r="E10" s="23" t="s">
        <v>81</v>
      </c>
      <c r="F10" s="2" t="s">
        <v>27</v>
      </c>
      <c r="G10" s="21" t="s">
        <v>107</v>
      </c>
    </row>
    <row r="11" spans="5:7" ht="86.4" x14ac:dyDescent="0.3">
      <c r="E11" s="24" t="s">
        <v>82</v>
      </c>
      <c r="F11" s="2" t="s">
        <v>30</v>
      </c>
      <c r="G11" s="21" t="s">
        <v>108</v>
      </c>
    </row>
    <row r="12" spans="5:7" ht="60" x14ac:dyDescent="0.3">
      <c r="E12" s="24" t="s">
        <v>82</v>
      </c>
      <c r="F12" s="2" t="s">
        <v>31</v>
      </c>
      <c r="G12" s="21" t="s">
        <v>109</v>
      </c>
    </row>
    <row r="13" spans="5:7" ht="86.4" x14ac:dyDescent="0.3">
      <c r="E13" s="24" t="s">
        <v>82</v>
      </c>
      <c r="F13" s="2" t="s">
        <v>32</v>
      </c>
      <c r="G13" s="21" cm="1">
        <f t="array" aca="1" ref="G13" ca="1">_xlfn._xlws.FILTER(A2:G13,F2:F13&gt;3000)</f>
        <v>0</v>
      </c>
    </row>
    <row r="14" spans="5:7" ht="60" x14ac:dyDescent="0.3">
      <c r="E14" s="24" t="s">
        <v>82</v>
      </c>
      <c r="F14" s="2" t="s">
        <v>83</v>
      </c>
      <c r="G14" s="21" t="s">
        <v>110</v>
      </c>
    </row>
    <row r="15" spans="5:7" ht="90" x14ac:dyDescent="0.3">
      <c r="E15" s="24" t="s">
        <v>82</v>
      </c>
      <c r="F15" s="2" t="s">
        <v>35</v>
      </c>
      <c r="G15" s="21" t="s">
        <v>111</v>
      </c>
    </row>
    <row r="16" spans="5:7" ht="86.4" x14ac:dyDescent="0.3">
      <c r="E16" s="25" t="s">
        <v>84</v>
      </c>
      <c r="F16" s="2" t="s">
        <v>85</v>
      </c>
      <c r="G16" s="21" t="s">
        <v>114</v>
      </c>
    </row>
    <row r="17" spans="5:7" ht="86.4" x14ac:dyDescent="0.3">
      <c r="E17" s="25" t="s">
        <v>84</v>
      </c>
      <c r="F17" s="2" t="s">
        <v>86</v>
      </c>
      <c r="G17" s="21" t="s">
        <v>115</v>
      </c>
    </row>
    <row r="18" spans="5:7" ht="100.8" x14ac:dyDescent="0.3">
      <c r="E18" s="25" t="s">
        <v>84</v>
      </c>
      <c r="F18" s="2" t="s">
        <v>87</v>
      </c>
      <c r="G18" s="21" t="s">
        <v>62</v>
      </c>
    </row>
    <row r="19" spans="5:7" ht="115.2" x14ac:dyDescent="0.3">
      <c r="E19" s="25" t="s">
        <v>84</v>
      </c>
      <c r="F19" s="2" t="s">
        <v>88</v>
      </c>
      <c r="G19" s="21" t="s">
        <v>116</v>
      </c>
    </row>
    <row r="20" spans="5:7" ht="100.8" x14ac:dyDescent="0.3">
      <c r="E20" s="25" t="s">
        <v>84</v>
      </c>
      <c r="F20" s="2" t="s">
        <v>89</v>
      </c>
      <c r="G20" s="21" t="s">
        <v>117</v>
      </c>
    </row>
    <row r="21" spans="5:7" ht="60" x14ac:dyDescent="0.3">
      <c r="E21" s="26" t="s">
        <v>90</v>
      </c>
      <c r="F21" s="2" t="s">
        <v>91</v>
      </c>
      <c r="G21" s="21" t="s">
        <v>61</v>
      </c>
    </row>
    <row r="22" spans="5:7" ht="60" x14ac:dyDescent="0.3">
      <c r="E22" s="26" t="s">
        <v>90</v>
      </c>
      <c r="F22" s="2" t="s">
        <v>92</v>
      </c>
      <c r="G22" s="21" t="s">
        <v>118</v>
      </c>
    </row>
    <row r="23" spans="5:7" ht="60" x14ac:dyDescent="0.3">
      <c r="E23" s="26" t="s">
        <v>90</v>
      </c>
      <c r="F23" s="2" t="s">
        <v>93</v>
      </c>
      <c r="G23" s="21" t="s">
        <v>119</v>
      </c>
    </row>
    <row r="24" spans="5:7" ht="115.2" x14ac:dyDescent="0.3">
      <c r="E24" s="26" t="s">
        <v>90</v>
      </c>
      <c r="F24" s="2" t="s">
        <v>94</v>
      </c>
      <c r="G24" s="21" t="s">
        <v>60</v>
      </c>
    </row>
    <row r="25" spans="5:7" ht="86.4" x14ac:dyDescent="0.3">
      <c r="E25" s="26" t="s">
        <v>90</v>
      </c>
      <c r="F25" s="2" t="s">
        <v>95</v>
      </c>
      <c r="G25" s="21" t="s">
        <v>120</v>
      </c>
    </row>
    <row r="26" spans="5:7" ht="100.8" x14ac:dyDescent="0.3">
      <c r="E26" s="27" t="s">
        <v>96</v>
      </c>
      <c r="F26" s="2" t="s">
        <v>97</v>
      </c>
      <c r="G26" s="21" t="s">
        <v>121</v>
      </c>
    </row>
    <row r="27" spans="5:7" ht="86.4" x14ac:dyDescent="0.3">
      <c r="E27" s="27" t="s">
        <v>96</v>
      </c>
      <c r="F27" s="2" t="s">
        <v>98</v>
      </c>
      <c r="G27" s="21" t="s">
        <v>112</v>
      </c>
    </row>
    <row r="28" spans="5:7" ht="100.8" x14ac:dyDescent="0.3">
      <c r="E28" s="27" t="s">
        <v>96</v>
      </c>
      <c r="F28" s="2" t="s">
        <v>99</v>
      </c>
      <c r="G28" s="21" t="s">
        <v>113</v>
      </c>
    </row>
    <row r="29" spans="5:7" ht="86.4" x14ac:dyDescent="0.3">
      <c r="E29" s="27" t="s">
        <v>96</v>
      </c>
      <c r="F29" s="2" t="s">
        <v>100</v>
      </c>
      <c r="G29" s="21" t="s">
        <v>122</v>
      </c>
    </row>
    <row r="30" spans="5:7" ht="165" x14ac:dyDescent="0.3">
      <c r="E30" s="28" t="s">
        <v>101</v>
      </c>
      <c r="F30" s="2" t="s">
        <v>102</v>
      </c>
      <c r="G30" s="2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XLOOKUP</vt:lpstr>
      <vt:lpstr>FILTER</vt:lpstr>
      <vt:lpstr>if_countif_sumif</vt:lpstr>
      <vt:lpstr>pivot tables</vt:lpstr>
      <vt:lpstr>Bouns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prasad chaudhary</dc:creator>
  <cp:lastModifiedBy>Bhanu prasad chaudhary</cp:lastModifiedBy>
  <dcterms:created xsi:type="dcterms:W3CDTF">2026-09-25T17:26:17Z</dcterms:created>
  <dcterms:modified xsi:type="dcterms:W3CDTF">2026-09-25T19:23:38Z</dcterms:modified>
</cp:coreProperties>
</file>